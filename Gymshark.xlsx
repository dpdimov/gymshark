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2"/>
  <workbookPr/>
  <mc:AlternateContent xmlns:mc="http://schemas.openxmlformats.org/markup-compatibility/2006">
    <mc:Choice Requires="x15">
      <x15ac:absPath xmlns:x15ac="http://schemas.microsoft.com/office/spreadsheetml/2010/11/ac" url="/Users/dimodimov/Dropbox/Teaching/ED/Growth/"/>
    </mc:Choice>
  </mc:AlternateContent>
  <xr:revisionPtr revIDLastSave="0" documentId="13_ncr:1_{5E08C4B2-C913-C541-BC2B-7328B92A5030}" xr6:coauthVersionLast="47" xr6:coauthVersionMax="47" xr10:uidLastSave="{00000000-0000-0000-0000-000000000000}"/>
  <bookViews>
    <workbookView xWindow="0" yWindow="500" windowWidth="35840" windowHeight="20940" tabRatio="500" firstSheet="3" xr2:uid="{00000000-000D-0000-FFFF-FFFF00000000}"/>
  </bookViews>
  <sheets>
    <sheet name="Statements" sheetId="3" r:id="rId1"/>
    <sheet name="Overall" sheetId="1" r:id="rId2"/>
    <sheet name="WorkCap" sheetId="2" r:id="rId3"/>
    <sheet name="Levers" sheetId="4" r:id="rId4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9" i="3" l="1"/>
  <c r="F49" i="3"/>
  <c r="G49" i="3"/>
  <c r="H49" i="3"/>
  <c r="I49" i="3"/>
  <c r="J49" i="3"/>
  <c r="D49" i="3"/>
  <c r="E47" i="3"/>
  <c r="F47" i="3"/>
  <c r="G47" i="3"/>
  <c r="H47" i="3"/>
  <c r="I47" i="3"/>
  <c r="J47" i="3"/>
  <c r="D47" i="3"/>
  <c r="E43" i="3"/>
  <c r="F43" i="3"/>
  <c r="G43" i="3"/>
  <c r="H43" i="3"/>
  <c r="I43" i="3"/>
  <c r="J43" i="3"/>
  <c r="E44" i="3"/>
  <c r="F44" i="3"/>
  <c r="G44" i="3"/>
  <c r="H44" i="3"/>
  <c r="I44" i="3"/>
  <c r="J44" i="3"/>
  <c r="E45" i="3"/>
  <c r="F45" i="3"/>
  <c r="G45" i="3"/>
  <c r="H45" i="3"/>
  <c r="I45" i="3"/>
  <c r="J45" i="3"/>
  <c r="D45" i="3"/>
  <c r="D44" i="3"/>
  <c r="D43" i="3"/>
  <c r="E8" i="4"/>
  <c r="E10" i="4"/>
  <c r="B27" i="3"/>
  <c r="C27" i="3" s="1"/>
  <c r="D27" i="3" s="1"/>
  <c r="E27" i="3" s="1"/>
  <c r="F27" i="3" s="1"/>
  <c r="G27" i="3" s="1"/>
  <c r="H27" i="3" s="1"/>
  <c r="I27" i="3" s="1"/>
  <c r="J27" i="3" s="1"/>
  <c r="B17" i="2"/>
  <c r="C17" i="2"/>
  <c r="D17" i="2"/>
  <c r="E17" i="2"/>
  <c r="F17" i="2"/>
  <c r="G17" i="2"/>
  <c r="H17" i="2"/>
  <c r="C21" i="2"/>
  <c r="D21" i="2"/>
  <c r="E21" i="2"/>
  <c r="F21" i="2"/>
  <c r="G21" i="2"/>
  <c r="H21" i="2"/>
  <c r="B21" i="2"/>
  <c r="C19" i="2"/>
  <c r="D19" i="2"/>
  <c r="E19" i="2"/>
  <c r="F19" i="2"/>
  <c r="G19" i="2"/>
  <c r="H19" i="2"/>
  <c r="B19" i="2"/>
  <c r="C23" i="2"/>
  <c r="D23" i="2"/>
  <c r="E23" i="2"/>
  <c r="F23" i="2"/>
  <c r="G23" i="2"/>
  <c r="H23" i="2"/>
  <c r="B23" i="2"/>
  <c r="C16" i="2"/>
  <c r="D16" i="2"/>
  <c r="E16" i="2"/>
  <c r="F16" i="2"/>
  <c r="G16" i="2"/>
  <c r="H16" i="2"/>
  <c r="B16" i="2"/>
  <c r="C20" i="2"/>
  <c r="D20" i="2"/>
  <c r="E20" i="2"/>
  <c r="F20" i="2"/>
  <c r="G20" i="2"/>
  <c r="H20" i="2"/>
  <c r="B20" i="2"/>
  <c r="C18" i="2"/>
  <c r="D18" i="2"/>
  <c r="E18" i="2"/>
  <c r="F18" i="2"/>
  <c r="G18" i="2"/>
  <c r="H18" i="2"/>
  <c r="B18" i="2"/>
  <c r="C27" i="2"/>
  <c r="D27" i="2"/>
  <c r="E27" i="2"/>
  <c r="F27" i="2"/>
  <c r="G27" i="2"/>
  <c r="H27" i="2"/>
  <c r="B27" i="2"/>
  <c r="C3" i="2"/>
  <c r="C6" i="2" s="1"/>
  <c r="D3" i="2"/>
  <c r="D6" i="2" s="1"/>
  <c r="E3" i="2"/>
  <c r="D16" i="4" s="1"/>
  <c r="F3" i="2"/>
  <c r="F7" i="2" s="1"/>
  <c r="G3" i="2"/>
  <c r="G6" i="2" s="1"/>
  <c r="H3" i="2"/>
  <c r="H6" i="2" s="1"/>
  <c r="B3" i="2"/>
  <c r="B7" i="2" s="1"/>
  <c r="D7" i="2"/>
  <c r="E7" i="2"/>
  <c r="G7" i="2"/>
  <c r="C2" i="2"/>
  <c r="C5" i="2" s="1"/>
  <c r="D2" i="2"/>
  <c r="D5" i="2" s="1"/>
  <c r="E2" i="2"/>
  <c r="E5" i="2" s="1"/>
  <c r="F2" i="2"/>
  <c r="F5" i="2" s="1"/>
  <c r="G2" i="2"/>
  <c r="G5" i="2" s="1"/>
  <c r="H2" i="2"/>
  <c r="H5" i="2" s="1"/>
  <c r="B2" i="2"/>
  <c r="B5" i="2" s="1"/>
  <c r="C13" i="1"/>
  <c r="D13" i="1"/>
  <c r="E13" i="1"/>
  <c r="F13" i="1"/>
  <c r="G13" i="1"/>
  <c r="H13" i="1"/>
  <c r="B13" i="1"/>
  <c r="C3" i="1"/>
  <c r="D3" i="1"/>
  <c r="E3" i="1"/>
  <c r="F3" i="1"/>
  <c r="G3" i="1"/>
  <c r="H3" i="1"/>
  <c r="B3" i="1"/>
  <c r="J38" i="3"/>
  <c r="H2" i="1" s="1"/>
  <c r="H5" i="1" s="1"/>
  <c r="J32" i="3"/>
  <c r="J34" i="3" s="1"/>
  <c r="J24" i="3"/>
  <c r="J21" i="3"/>
  <c r="I38" i="3"/>
  <c r="G2" i="1" s="1"/>
  <c r="H38" i="3"/>
  <c r="F2" i="1" s="1"/>
  <c r="I32" i="3"/>
  <c r="I34" i="3" s="1"/>
  <c r="H32" i="3"/>
  <c r="H34" i="3" s="1"/>
  <c r="I24" i="3"/>
  <c r="H24" i="3"/>
  <c r="I21" i="3"/>
  <c r="H21" i="3"/>
  <c r="G32" i="3"/>
  <c r="G34" i="3" s="1"/>
  <c r="F32" i="3"/>
  <c r="F34" i="3" s="1"/>
  <c r="G24" i="3"/>
  <c r="F24" i="3"/>
  <c r="G21" i="3"/>
  <c r="F21" i="3"/>
  <c r="H9" i="3"/>
  <c r="H5" i="3"/>
  <c r="E32" i="3"/>
  <c r="E34" i="3" s="1"/>
  <c r="D32" i="3"/>
  <c r="D34" i="3" s="1"/>
  <c r="C32" i="3"/>
  <c r="C34" i="3" s="1"/>
  <c r="B32" i="3"/>
  <c r="B34" i="3" s="1"/>
  <c r="E38" i="3"/>
  <c r="C2" i="1" s="1"/>
  <c r="D38" i="3"/>
  <c r="B2" i="1" s="1"/>
  <c r="E21" i="3"/>
  <c r="D21" i="3"/>
  <c r="E24" i="3"/>
  <c r="D24" i="3"/>
  <c r="C38" i="3"/>
  <c r="B38" i="3"/>
  <c r="C24" i="3"/>
  <c r="B24" i="3"/>
  <c r="C21" i="3"/>
  <c r="B21" i="3"/>
  <c r="B25" i="3" s="1"/>
  <c r="E5" i="3"/>
  <c r="D5" i="3"/>
  <c r="J9" i="3"/>
  <c r="J5" i="3"/>
  <c r="I5" i="3"/>
  <c r="G5" i="3"/>
  <c r="F5" i="3"/>
  <c r="L7" i="3"/>
  <c r="L9" i="3"/>
  <c r="L11" i="3"/>
  <c r="L13" i="3"/>
  <c r="L3" i="3"/>
  <c r="C25" i="3" l="1"/>
  <c r="C5" i="1"/>
  <c r="L5" i="3"/>
  <c r="B22" i="2"/>
  <c r="B8" i="1"/>
  <c r="B11" i="2" s="1"/>
  <c r="G22" i="2"/>
  <c r="C8" i="1"/>
  <c r="F22" i="2"/>
  <c r="H7" i="2"/>
  <c r="B40" i="3"/>
  <c r="D22" i="2"/>
  <c r="D25" i="2" s="1"/>
  <c r="D29" i="2" s="1"/>
  <c r="C40" i="3"/>
  <c r="H22" i="2"/>
  <c r="H25" i="2" s="1"/>
  <c r="H29" i="2" s="1"/>
  <c r="C7" i="2"/>
  <c r="C9" i="2" s="1"/>
  <c r="C22" i="2"/>
  <c r="C25" i="2" s="1"/>
  <c r="C29" i="2" s="1"/>
  <c r="E22" i="2"/>
  <c r="E25" i="2" s="1"/>
  <c r="D2" i="4" s="1"/>
  <c r="B6" i="2"/>
  <c r="F6" i="2"/>
  <c r="F9" i="2" s="1"/>
  <c r="E6" i="2"/>
  <c r="E9" i="2" s="1"/>
  <c r="F5" i="1"/>
  <c r="G5" i="1"/>
  <c r="D12" i="4"/>
  <c r="D14" i="4"/>
  <c r="F8" i="3"/>
  <c r="D12" i="2"/>
  <c r="G8" i="3"/>
  <c r="E2" i="4" s="1"/>
  <c r="E12" i="2"/>
  <c r="I8" i="3"/>
  <c r="G12" i="2"/>
  <c r="J8" i="3"/>
  <c r="H12" i="2"/>
  <c r="D8" i="3"/>
  <c r="B12" i="2"/>
  <c r="E8" i="3"/>
  <c r="C12" i="2"/>
  <c r="B9" i="1"/>
  <c r="C9" i="1"/>
  <c r="F12" i="2"/>
  <c r="H8" i="3"/>
  <c r="D8" i="1"/>
  <c r="F25" i="3"/>
  <c r="E8" i="1"/>
  <c r="G25" i="3"/>
  <c r="D9" i="1"/>
  <c r="E9" i="1"/>
  <c r="F8" i="1"/>
  <c r="H25" i="3"/>
  <c r="H40" i="3" s="1"/>
  <c r="G8" i="1"/>
  <c r="I25" i="3"/>
  <c r="I40" i="3" s="1"/>
  <c r="F9" i="1"/>
  <c r="G9" i="1"/>
  <c r="H8" i="1"/>
  <c r="J25" i="3"/>
  <c r="J40" i="3" s="1"/>
  <c r="H9" i="1"/>
  <c r="G25" i="2"/>
  <c r="G29" i="2" s="1"/>
  <c r="F25" i="2"/>
  <c r="F29" i="2" s="1"/>
  <c r="B25" i="2"/>
  <c r="B29" i="2" s="1"/>
  <c r="H9" i="2"/>
  <c r="G9" i="2"/>
  <c r="D9" i="2"/>
  <c r="D25" i="3"/>
  <c r="D40" i="3" s="1"/>
  <c r="E25" i="3"/>
  <c r="E40" i="3" s="1"/>
  <c r="D8" i="4"/>
  <c r="E6" i="4"/>
  <c r="D6" i="4" s="1"/>
  <c r="E4" i="4"/>
  <c r="D4" i="4" s="1"/>
  <c r="L20" i="3"/>
  <c r="L24" i="3"/>
  <c r="L29" i="3"/>
  <c r="L30" i="3"/>
  <c r="L33" i="3"/>
  <c r="L36" i="3"/>
  <c r="L37" i="3"/>
  <c r="L19" i="3"/>
  <c r="G38" i="3"/>
  <c r="E2" i="1" s="1"/>
  <c r="E5" i="1" s="1"/>
  <c r="F38" i="3"/>
  <c r="D2" i="1" s="1"/>
  <c r="D5" i="1" s="1"/>
  <c r="C11" i="1" l="1"/>
  <c r="C19" i="1" s="1"/>
  <c r="C11" i="2"/>
  <c r="C14" i="2"/>
  <c r="E29" i="2"/>
  <c r="C18" i="1"/>
  <c r="H11" i="1"/>
  <c r="H11" i="2"/>
  <c r="H14" i="2" s="1"/>
  <c r="G11" i="1"/>
  <c r="G11" i="2"/>
  <c r="G14" i="2" s="1"/>
  <c r="F11" i="1"/>
  <c r="F11" i="2"/>
  <c r="F14" i="2" s="1"/>
  <c r="E11" i="1"/>
  <c r="E11" i="2"/>
  <c r="E14" i="2" s="1"/>
  <c r="D11" i="1"/>
  <c r="D11" i="2"/>
  <c r="D14" i="2" s="1"/>
  <c r="F14" i="1"/>
  <c r="H10" i="3"/>
  <c r="H12" i="3" s="1"/>
  <c r="E10" i="3"/>
  <c r="E12" i="3" s="1"/>
  <c r="C14" i="1"/>
  <c r="D10" i="3"/>
  <c r="D12" i="3" s="1"/>
  <c r="B14" i="1"/>
  <c r="B17" i="1" s="1"/>
  <c r="J10" i="3"/>
  <c r="J12" i="3" s="1"/>
  <c r="H14" i="1"/>
  <c r="I10" i="3"/>
  <c r="I12" i="3" s="1"/>
  <c r="G14" i="1"/>
  <c r="G10" i="3"/>
  <c r="G12" i="3" s="1"/>
  <c r="E14" i="1"/>
  <c r="F10" i="3"/>
  <c r="F12" i="3" s="1"/>
  <c r="D14" i="1"/>
  <c r="B5" i="1"/>
  <c r="G40" i="3"/>
  <c r="L8" i="3"/>
  <c r="L21" i="3"/>
  <c r="L32" i="3"/>
  <c r="L38" i="3"/>
  <c r="E18" i="4"/>
  <c r="E20" i="4" s="1"/>
  <c r="L34" i="3"/>
  <c r="B11" i="1"/>
  <c r="B14" i="2"/>
  <c r="D10" i="4"/>
  <c r="B9" i="2"/>
  <c r="L12" i="3" l="1"/>
  <c r="D17" i="1"/>
  <c r="D16" i="1"/>
  <c r="E17" i="1"/>
  <c r="E16" i="1"/>
  <c r="G17" i="1"/>
  <c r="G16" i="1"/>
  <c r="H17" i="1"/>
  <c r="H16" i="1"/>
  <c r="C17" i="1"/>
  <c r="C16" i="1"/>
  <c r="F17" i="1"/>
  <c r="F16" i="1"/>
  <c r="D19" i="1"/>
  <c r="D18" i="1"/>
  <c r="E19" i="1"/>
  <c r="E18" i="1"/>
  <c r="F19" i="1"/>
  <c r="F18" i="1"/>
  <c r="G19" i="1"/>
  <c r="G18" i="1"/>
  <c r="H19" i="1"/>
  <c r="H18" i="1"/>
  <c r="B19" i="1"/>
  <c r="B18" i="1"/>
  <c r="B16" i="1"/>
  <c r="L25" i="3"/>
  <c r="F40" i="3"/>
  <c r="D18" i="4"/>
  <c r="D20" i="4" l="1"/>
</calcChain>
</file>

<file path=xl/sharedStrings.xml><?xml version="1.0" encoding="utf-8"?>
<sst xmlns="http://schemas.openxmlformats.org/spreadsheetml/2006/main" count="91" uniqueCount="78">
  <si>
    <t>P&amp;L Statement</t>
  </si>
  <si>
    <t>Difference</t>
  </si>
  <si>
    <t>Revenue</t>
  </si>
  <si>
    <t>Cost of sales</t>
  </si>
  <si>
    <t>Gross margin</t>
  </si>
  <si>
    <t>Distribution costs</t>
  </si>
  <si>
    <t>Admin expenses</t>
  </si>
  <si>
    <t>EBIT</t>
  </si>
  <si>
    <t>Interest</t>
  </si>
  <si>
    <t>EBT</t>
  </si>
  <si>
    <t>Tax</t>
  </si>
  <si>
    <t>Net profit</t>
  </si>
  <si>
    <t>Depreciation</t>
  </si>
  <si>
    <t>Amortization</t>
  </si>
  <si>
    <t>Balance Sheet</t>
  </si>
  <si>
    <t>Cash</t>
  </si>
  <si>
    <t>Accounts receivable</t>
  </si>
  <si>
    <t>Inventory</t>
  </si>
  <si>
    <t>Current assets</t>
  </si>
  <si>
    <t>Intangible assets</t>
  </si>
  <si>
    <t>Tangible assets</t>
  </si>
  <si>
    <t>Fixed assets</t>
  </si>
  <si>
    <t>Total assets</t>
  </si>
  <si>
    <t>Cumulative depr &amp; amort</t>
  </si>
  <si>
    <t>Accounts payable</t>
  </si>
  <si>
    <t>Short-term debt</t>
  </si>
  <si>
    <t>Accruals</t>
  </si>
  <si>
    <t>Current liabilities</t>
  </si>
  <si>
    <t>Long-term debt</t>
  </si>
  <si>
    <t>Total liabilities</t>
  </si>
  <si>
    <t>Share capital</t>
  </si>
  <si>
    <t>Retained earnings</t>
  </si>
  <si>
    <t>Total equity</t>
  </si>
  <si>
    <t>Check</t>
  </si>
  <si>
    <t>COGS</t>
  </si>
  <si>
    <t>Distrib costs</t>
  </si>
  <si>
    <t>Operatin profit %</t>
  </si>
  <si>
    <t>Net profit %</t>
  </si>
  <si>
    <t>Equity</t>
  </si>
  <si>
    <t>Net debt</t>
  </si>
  <si>
    <t>Total funding</t>
  </si>
  <si>
    <t>Working capital</t>
  </si>
  <si>
    <t>Other capital</t>
  </si>
  <si>
    <t>Net operating assets</t>
  </si>
  <si>
    <t>Return on assets</t>
  </si>
  <si>
    <t>Profitability</t>
  </si>
  <si>
    <t>Asset turnover</t>
  </si>
  <si>
    <t>Leverage</t>
  </si>
  <si>
    <t>Daily revenue</t>
  </si>
  <si>
    <t>Daily cost</t>
  </si>
  <si>
    <t>Receivables days</t>
  </si>
  <si>
    <t>Inventory days</t>
  </si>
  <si>
    <t>Payable days</t>
  </si>
  <si>
    <t>Cash cycle days</t>
  </si>
  <si>
    <t>Working capital as % of revenue</t>
  </si>
  <si>
    <t>Marginal cash flow</t>
  </si>
  <si>
    <t>Depreciation &amp; amortization</t>
  </si>
  <si>
    <t>Change in receivables</t>
  </si>
  <si>
    <t>Change in inventory</t>
  </si>
  <si>
    <t>Change in payables</t>
  </si>
  <si>
    <t>Change in accruals</t>
  </si>
  <si>
    <t>Investing</t>
  </si>
  <si>
    <t>Financing</t>
  </si>
  <si>
    <t>Net cash</t>
  </si>
  <si>
    <t>Cash change</t>
  </si>
  <si>
    <t>Net cash flow</t>
  </si>
  <si>
    <t>Current position</t>
  </si>
  <si>
    <t>Price increase</t>
  </si>
  <si>
    <t>%</t>
  </si>
  <si>
    <t>Volume increase</t>
  </si>
  <si>
    <t>COGS reduction</t>
  </si>
  <si>
    <t>Overheads reduction</t>
  </si>
  <si>
    <t>Reduction in debtors days</t>
  </si>
  <si>
    <t>days</t>
  </si>
  <si>
    <t>Reduction in inventory days</t>
  </si>
  <si>
    <t>Increase in creditor days</t>
  </si>
  <si>
    <t>Overall effect</t>
  </si>
  <si>
    <t>New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</si>
</sst>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65" fontId="0" fillId="0" borderId="0" xfId="2" applyNumberFormat="1" applyFont="1"/>
    <xf numFmtId="3" fontId="2" fillId="0" borderId="0" xfId="0" applyNumberFormat="1" applyFont="1"/>
    <xf numFmtId="164" fontId="2" fillId="0" borderId="0" xfId="1" applyNumberFormat="1" applyFont="1"/>
    <xf numFmtId="165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164" fontId="0" fillId="0" borderId="0" xfId="1" applyNumberFormat="1" applyFont="1" applyAlignment="1">
      <alignment horizontal="right"/>
    </xf>
    <xf numFmtId="0" fontId="0" fillId="2" borderId="0" xfId="0" applyFill="1"/>
    <xf numFmtId="0" fontId="0" fillId="0" borderId="0" xfId="0" applyFont="1"/>
    <xf numFmtId="164" fontId="0" fillId="0" borderId="0" xfId="0" applyNumberFormat="1" applyFont="1"/>
    <xf numFmtId="9" fontId="0" fillId="0" borderId="0" xfId="2" applyNumberFormat="1" applyFont="1"/>
    <xf numFmtId="164" fontId="2" fillId="0" borderId="0" xfId="1" applyNumberFormat="1" applyFont="1" applyAlignment="1">
      <alignment horizontal="right"/>
    </xf>
    <xf numFmtId="166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Working capital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Overall!$B$1:$H$1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Overall!$B$8:$H$8</c:f>
              <c:numCache>
                <c:formatCode>#,##0</c:formatCode>
                <c:ptCount val="7"/>
                <c:pt idx="0">
                  <c:v>1548</c:v>
                </c:pt>
                <c:pt idx="1">
                  <c:v>2261</c:v>
                </c:pt>
                <c:pt idx="2">
                  <c:v>8318</c:v>
                </c:pt>
                <c:pt idx="3">
                  <c:v>19744</c:v>
                </c:pt>
                <c:pt idx="4">
                  <c:v>32363</c:v>
                </c:pt>
                <c:pt idx="5">
                  <c:v>49734</c:v>
                </c:pt>
                <c:pt idx="6">
                  <c:v>82593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B-8C4F-904F-92D1AB96BC7A}"/>
            </c:ext>
          </c:extLst>
        </c:ser>
        <c:ser>
          <c:idx val="1"/>
          <c:order val="1"/>
          <c:tx>
            <c:v>Fixed assets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Overall!$B$1:$H$1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Overall!$B$9:$H$9</c:f>
              <c:numCache>
                <c:formatCode>#,##0</c:formatCode>
                <c:ptCount val="7"/>
                <c:pt idx="0">
                  <c:v>357.5</c:v>
                </c:pt>
                <c:pt idx="1">
                  <c:v>354</c:v>
                </c:pt>
                <c:pt idx="2">
                  <c:v>723</c:v>
                </c:pt>
                <c:pt idx="3">
                  <c:v>4509</c:v>
                </c:pt>
                <c:pt idx="4">
                  <c:v>10880</c:v>
                </c:pt>
                <c:pt idx="5">
                  <c:v>13777</c:v>
                </c:pt>
                <c:pt idx="6">
                  <c:v>26320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B-8C4F-904F-92D1AB96B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877120"/>
        <c:axId val="213724832"/>
      </c:barChart>
      <c:catAx>
        <c:axId val="1818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4832"/>
        <c:crosses val="autoZero"/>
        <c:auto val="1"/>
        <c:lblAlgn val="ctr"/>
        <c:lblOffset val="100"/>
        <c:noMultiLvlLbl val="0"/>
      </c:catAx>
      <c:valAx>
        <c:axId val="2137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Return on assets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Overall!$B$1:$H$1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Overall!$B$16:$H$16</c:f>
              <c:numCache>
                <c:formatCode>0.0%</c:formatCode>
                <c:ptCount val="7"/>
                <c:pt idx="0">
                  <c:v>0.59459459459459463</c:v>
                </c:pt>
                <c:pt idx="1">
                  <c:v>0.42217973231357553</c:v>
                </c:pt>
                <c:pt idx="2">
                  <c:v>0.90144895476164144</c:v>
                </c:pt>
                <c:pt idx="3">
                  <c:v>0.72605450872057065</c:v>
                </c:pt>
                <c:pt idx="4">
                  <c:v>0.42897116296279164</c:v>
                </c:pt>
                <c:pt idx="5">
                  <c:v>0.48157012171119962</c:v>
                </c:pt>
                <c:pt idx="6">
                  <c:v>0.56504733135622009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8-FC40-BB04-77F383203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562240"/>
        <c:axId val="268542432"/>
      </c:lineChart>
      <c:catAx>
        <c:axId val="26856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542432"/>
        <c:crosses val="autoZero"/>
        <c:auto val="1"/>
        <c:lblAlgn val="ctr"/>
        <c:lblOffset val="100"/>
        <c:noMultiLvlLbl val="0"/>
      </c:catAx>
      <c:valAx>
        <c:axId val="2685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5622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v>Asset turnover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Overall!$B$18:$H$18</c:f>
              <c:numCache>
                <c:formatCode>0.0</c:formatCode>
                <c:ptCount val="7"/>
                <c:pt idx="0">
                  <c:v>4.579375491996851</c:v>
                </c:pt>
                <c:pt idx="1">
                  <c:v>4.8894837476099422</c:v>
                </c:pt>
                <c:pt idx="2">
                  <c:v>4.4823581462227633</c:v>
                </c:pt>
                <c:pt idx="3">
                  <c:v>4.2504020121222119</c:v>
                </c:pt>
                <c:pt idx="4">
                  <c:v>4.073815415211711</c:v>
                </c:pt>
                <c:pt idx="5">
                  <c:v>4.1043913652753066</c:v>
                </c:pt>
                <c:pt idx="6">
                  <c:v>4.0181521030547316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E2-FD4B-AE4F-345F218D1A9D}"/>
            </c:ext>
          </c:extLst>
        </c:ser>
        <c:ser>
          <c:idx val="2"/>
          <c:order val="2"/>
          <c:tx>
            <c:v>Financial leverage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Overall!$B$19:$H$19</c:f>
              <c:numCache>
                <c:formatCode>0.0</c:formatCode>
                <c:ptCount val="7"/>
                <c:pt idx="0">
                  <c:v>0.99973662147259035</c:v>
                </c:pt>
                <c:pt idx="1">
                  <c:v>0.99999923518222933</c:v>
                </c:pt>
                <c:pt idx="2">
                  <c:v>0.99999977878558144</c:v>
                </c:pt>
                <c:pt idx="3">
                  <c:v>1.0453878409148414</c:v>
                </c:pt>
                <c:pt idx="4">
                  <c:v>1.1322824156328761</c:v>
                </c:pt>
                <c:pt idx="5">
                  <c:v>1.0581110221711336</c:v>
                </c:pt>
                <c:pt idx="6">
                  <c:v>0.99999998163671966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E2-FD4B-AE4F-345F218D1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761712"/>
        <c:axId val="216984336"/>
      </c:lineChart>
      <c:lineChart>
        <c:grouping val="standard"/>
        <c:varyColors val="0"/>
        <c:ser>
          <c:idx val="0"/>
          <c:order val="0"/>
          <c:tx>
            <c:v>Profitability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Overall!$B$1:$H$1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Overall!$B$17:$H$17</c:f>
              <c:numCache>
                <c:formatCode>0.0%</c:formatCode>
                <c:ptCount val="7"/>
                <c:pt idx="0">
                  <c:v>0.12984185193674078</c:v>
                </c:pt>
                <c:pt idx="1">
                  <c:v>8.6344439230408257E-2</c:v>
                </c:pt>
                <c:pt idx="2">
                  <c:v>0.20111042566317089</c:v>
                </c:pt>
                <c:pt idx="3">
                  <c:v>0.17082019692486783</c:v>
                </c:pt>
                <c:pt idx="4">
                  <c:v>0.1052996071842147</c:v>
                </c:pt>
                <c:pt idx="5">
                  <c:v>0.11733045873389751</c:v>
                </c:pt>
                <c:pt idx="6">
                  <c:v>0.14062367896094638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2-FD4B-AE4F-345F218D1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303536"/>
        <c:axId val="260001104"/>
      </c:lineChart>
      <c:catAx>
        <c:axId val="216761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984336"/>
        <c:crosses val="autoZero"/>
        <c:auto val="1"/>
        <c:lblAlgn val="ctr"/>
        <c:lblOffset val="100"/>
        <c:noMultiLvlLbl val="0"/>
      </c:catAx>
      <c:valAx>
        <c:axId val="21698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761712"/>
        <c:crosses val="autoZero"/>
        <c:crossBetween val="between"/>
      </c:valAx>
      <c:valAx>
        <c:axId val="2600011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303536"/>
        <c:crosses val="max"/>
        <c:crossBetween val="between"/>
      </c:valAx>
      <c:catAx>
        <c:axId val="290303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0001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Receivable days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WorkCap!$B$1:$H$1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WorkCap!$B$5:$H$5</c:f>
              <c:numCache>
                <c:formatCode>_(* #,##0_);_(* \(#,##0\);_(* "-"??_);_(@_)</c:formatCode>
                <c:ptCount val="7"/>
                <c:pt idx="0">
                  <c:v>25.850332340132937</c:v>
                </c:pt>
                <c:pt idx="1">
                  <c:v>51.469967151572028</c:v>
                </c:pt>
                <c:pt idx="2">
                  <c:v>32.433436150524365</c:v>
                </c:pt>
                <c:pt idx="3">
                  <c:v>23.641703448610368</c:v>
                </c:pt>
                <c:pt idx="4">
                  <c:v>24.867339524533957</c:v>
                </c:pt>
                <c:pt idx="5">
                  <c:v>11.250738470273216</c:v>
                </c:pt>
                <c:pt idx="6">
                  <c:v>48.90058702691092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5-DA4B-82CB-8A18F4CB8E9D}"/>
            </c:ext>
          </c:extLst>
        </c:ser>
        <c:ser>
          <c:idx val="1"/>
          <c:order val="1"/>
          <c:tx>
            <c:v>Inventory days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WorkCap!$B$1:$H$1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WorkCap!$B$6:$H$6</c:f>
              <c:numCache>
                <c:formatCode>_(* #,##0_);_(* \(#,##0\);_(* "-"??_);_(@_)</c:formatCode>
                <c:ptCount val="7"/>
                <c:pt idx="0">
                  <c:v>159.56284153005464</c:v>
                </c:pt>
                <c:pt idx="1">
                  <c:v>79.465266173311051</c:v>
                </c:pt>
                <c:pt idx="2">
                  <c:v>58.661919733678566</c:v>
                </c:pt>
                <c:pt idx="3">
                  <c:v>151.79724375538328</c:v>
                </c:pt>
                <c:pt idx="4">
                  <c:v>140.39563740633906</c:v>
                </c:pt>
                <c:pt idx="5">
                  <c:v>123.14382849563233</c:v>
                </c:pt>
                <c:pt idx="6">
                  <c:v>153.24900935282361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5-DA4B-82CB-8A18F4CB8E9D}"/>
            </c:ext>
          </c:extLst>
        </c:ser>
        <c:ser>
          <c:idx val="2"/>
          <c:order val="2"/>
          <c:tx>
            <c:v>Payable days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WorkCap!$B$1:$H$1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WorkCap!$B$7:$H$7</c:f>
              <c:numCache>
                <c:formatCode>_(* #,##0_);_(* \(#,##0\);_(* "-"??_);_(@_)</c:formatCode>
                <c:ptCount val="7"/>
                <c:pt idx="0">
                  <c:v>163.71812386156648</c:v>
                </c:pt>
                <c:pt idx="1">
                  <c:v>184.0248269276677</c:v>
                </c:pt>
                <c:pt idx="2">
                  <c:v>211.83095986683927</c:v>
                </c:pt>
                <c:pt idx="3">
                  <c:v>251.75882859603789</c:v>
                </c:pt>
                <c:pt idx="4">
                  <c:v>201.67855740838723</c:v>
                </c:pt>
                <c:pt idx="5">
                  <c:v>243.77095706415881</c:v>
                </c:pt>
                <c:pt idx="6">
                  <c:v>199.45324632816363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65-DA4B-82CB-8A18F4CB8E9D}"/>
            </c:ext>
          </c:extLst>
        </c:ser>
        <c:ser>
          <c:idx val="4"/>
          <c:order val="3"/>
          <c:tx>
            <c:v>Cash cycle days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WorkCap!$B$1:$H$1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WorkCap!$B$9:$H$9</c:f>
              <c:numCache>
                <c:formatCode>_(* #,##0_);_(* \(#,##0\);_(* "-"??_);_(@_)</c:formatCode>
                <c:ptCount val="7"/>
                <c:pt idx="0">
                  <c:v>21.695050008621081</c:v>
                </c:pt>
                <c:pt idx="1">
                  <c:v>-53.089593602784618</c:v>
                </c:pt>
                <c:pt idx="2">
                  <c:v>-120.73560398263633</c:v>
                </c:pt>
                <c:pt idx="3">
                  <c:v>-76.319881392044238</c:v>
                </c:pt>
                <c:pt idx="4">
                  <c:v>-36.415580477514226</c:v>
                </c:pt>
                <c:pt idx="5">
                  <c:v>-109.37639009825327</c:v>
                </c:pt>
                <c:pt idx="6">
                  <c:v>2.6963500515709029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65-DA4B-82CB-8A18F4CB8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297328"/>
        <c:axId val="274062464"/>
      </c:lineChart>
      <c:catAx>
        <c:axId val="26929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62464"/>
        <c:crosses val="autoZero"/>
        <c:auto val="1"/>
        <c:lblAlgn val="ctr"/>
        <c:lblOffset val="100"/>
        <c:noMultiLvlLbl val="0"/>
      </c:catAx>
      <c:valAx>
        <c:axId val="2740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9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Working capital %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WorkCap!$B$1:$H$1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WorkCap!$B$11:$H$11</c:f>
              <c:numCache>
                <c:formatCode>0.0%</c:formatCode>
                <c:ptCount val="7"/>
                <c:pt idx="0">
                  <c:v>0.17740087096034837</c:v>
                </c:pt>
                <c:pt idx="1">
                  <c:v>0.17683403722821836</c:v>
                </c:pt>
                <c:pt idx="2">
                  <c:v>0.20525601480567551</c:v>
                </c:pt>
                <c:pt idx="3">
                  <c:v>0.19153126061017606</c:v>
                </c:pt>
                <c:pt idx="4">
                  <c:v>0.18370949796780273</c:v>
                </c:pt>
                <c:pt idx="5">
                  <c:v>0.19079002892501745</c:v>
                </c:pt>
                <c:pt idx="6">
                  <c:v>0.18872835209732444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B-9446-AD26-A780B1F34FC6}"/>
            </c:ext>
          </c:extLst>
        </c:ser>
        <c:ser>
          <c:idx val="1"/>
          <c:order val="1"/>
          <c:tx>
            <c:v>Gross margin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WorkCap!$B$1:$H$1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WorkCap!$B$12:$H$12</c:f>
              <c:numCache>
                <c:formatCode>0.0%</c:formatCode>
                <c:ptCount val="7"/>
                <c:pt idx="0">
                  <c:v>0.7483382993353197</c:v>
                </c:pt>
                <c:pt idx="1">
                  <c:v>0.67237603628969189</c:v>
                </c:pt>
                <c:pt idx="2">
                  <c:v>0.73315237507711284</c:v>
                </c:pt>
                <c:pt idx="3">
                  <c:v>0.71843624193626621</c:v>
                </c:pt>
                <c:pt idx="4">
                  <c:v>0.66741786062986763</c:v>
                </c:pt>
                <c:pt idx="5">
                  <c:v>0.67897450455358033</c:v>
                </c:pt>
                <c:pt idx="6">
                  <c:v>0.67188417586585902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1B-9446-AD26-A780B1F34FC6}"/>
            </c:ext>
          </c:extLst>
        </c:ser>
        <c:ser>
          <c:idx val="3"/>
          <c:order val="2"/>
          <c:tx>
            <c:v>Marginal cash flow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WorkCap!$B$1:$H$1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WorkCap!$B$14:$H$14</c:f>
              <c:numCache>
                <c:formatCode>0.0%</c:formatCode>
                <c:ptCount val="7"/>
                <c:pt idx="0">
                  <c:v>0.5709374283749713</c:v>
                </c:pt>
                <c:pt idx="1">
                  <c:v>0.49554199906147356</c:v>
                </c:pt>
                <c:pt idx="2">
                  <c:v>0.52789636027143727</c:v>
                </c:pt>
                <c:pt idx="3">
                  <c:v>0.5269049813260902</c:v>
                </c:pt>
                <c:pt idx="4">
                  <c:v>0.48370836266206491</c:v>
                </c:pt>
                <c:pt idx="5">
                  <c:v>0.48818447562856288</c:v>
                </c:pt>
                <c:pt idx="6">
                  <c:v>0.48315582376853461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1B-9446-AD26-A780B1F34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55952"/>
        <c:axId val="276062960"/>
      </c:lineChart>
      <c:catAx>
        <c:axId val="17385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062960"/>
        <c:crosses val="autoZero"/>
        <c:auto val="1"/>
        <c:lblAlgn val="ctr"/>
        <c:lblOffset val="100"/>
        <c:noMultiLvlLbl val="0"/>
      </c:catAx>
      <c:valAx>
        <c:axId val="27606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5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745067</xdr:colOff>
      <xdr:row>9</xdr:row>
      <xdr:rowOff>21167</xdr:rowOff>
    </xdr:from>
    <xdr:to>
      <xdr:col>14</xdr:col>
      <xdr:colOff>287867</xdr:colOff>
      <xdr:row>22</xdr:row>
      <xdr:rowOff>122767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C4438-8BEF-7610-4D9B-8539579DF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804334</xdr:colOff>
      <xdr:row>23</xdr:row>
      <xdr:rowOff>122766</xdr:rowOff>
    </xdr:from>
    <xdr:to>
      <xdr:col>14</xdr:col>
      <xdr:colOff>347134</xdr:colOff>
      <xdr:row>37</xdr:row>
      <xdr:rowOff>21166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A4541A-0C2D-3F74-E9CC-32F841D03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931334</xdr:colOff>
      <xdr:row>21</xdr:row>
      <xdr:rowOff>88900</xdr:rowOff>
    </xdr:from>
    <xdr:to>
      <xdr:col>7</xdr:col>
      <xdr:colOff>347134</xdr:colOff>
      <xdr:row>34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F8393F-6878-0FE7-4E62-4A4AC865F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364068</xdr:colOff>
      <xdr:row>1</xdr:row>
      <xdr:rowOff>21167</xdr:rowOff>
    </xdr:from>
    <xdr:to>
      <xdr:col>14</xdr:col>
      <xdr:colOff>745068</xdr:colOff>
      <xdr:row>14</xdr:row>
      <xdr:rowOff>122767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F790E-C500-97D3-1280-17EEC4825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347134</xdr:colOff>
      <xdr:row>17</xdr:row>
      <xdr:rowOff>46567</xdr:rowOff>
    </xdr:from>
    <xdr:to>
      <xdr:col>14</xdr:col>
      <xdr:colOff>728134</xdr:colOff>
      <xdr:row>30</xdr:row>
      <xdr:rowOff>148167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58D627-52E4-1FEE-D546-6946D3536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804333</xdr:colOff>
      <xdr:row>6</xdr:row>
      <xdr:rowOff>67733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06829A-B323-5E4C-B227-51654ADF020C}"/>
            </a:ext>
          </a:extLst>
        </xdr:cNvPr>
        <xdr:cNvSpPr txBox="1"/>
      </xdr:nvSpPr>
      <xdr:spPr>
        <a:xfrm>
          <a:off x="6908800" y="203200"/>
          <a:ext cx="5782733" cy="1083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/>
            <a:t>This</a:t>
          </a:r>
          <a:r>
            <a:rPr lang="en-GB" sz="1200" baseline="0"/>
            <a:t> page shows the impact of improving each of 7 main levers of cash flow management on the net cash flow of the business. Each of these is now set on 1% or 1 day improvement. You can "play" with these numbers to explore different scenarios.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zoomScale="150" zoomScaleNormal="150" workbookViewId="0">
      <pane xSplit="1" ySplit="2" topLeftCell="B3" activePane="bottomRight" state="frozen"/>
      <selection pane="bottomRight" activeCell="I12" sqref="I12"/>
      <selection pane="bottomLeft"/>
      <selection pane="topRight"/>
    </sheetView>
  </sheetViews>
  <sheetFormatPr defaultColWidth="11" defaultRowHeight="15.95"/>
  <cols>
    <col min="1" max="1" width="19" customWidth="1"/>
    <col min="2" max="2" width="13.875" customWidth="1"/>
    <col min="3" max="4" width="15.125" customWidth="1"/>
    <col min="5" max="5" width="14.5" customWidth="1"/>
    <col min="11" max="11" width="4.625" customWidth="1"/>
  </cols>
  <sheetData>
    <row r="1" spans="1:14">
      <c r="A1" s="21" t="s">
        <v>0</v>
      </c>
      <c r="B1" s="21"/>
      <c r="C1" s="21"/>
      <c r="D1" s="21"/>
      <c r="E1" s="21"/>
      <c r="F1" s="21"/>
      <c r="G1" s="21"/>
      <c r="H1" s="20"/>
      <c r="I1" s="20"/>
      <c r="J1" s="20"/>
    </row>
    <row r="2" spans="1:14">
      <c r="B2" s="11">
        <v>2013</v>
      </c>
      <c r="C2" s="11">
        <v>2014</v>
      </c>
      <c r="D2" s="11">
        <v>2015</v>
      </c>
      <c r="E2" s="11">
        <v>2016</v>
      </c>
      <c r="F2" s="11">
        <v>2017</v>
      </c>
      <c r="G2" s="11">
        <v>2018</v>
      </c>
      <c r="H2" s="11">
        <v>2019</v>
      </c>
      <c r="I2" s="11">
        <v>2020</v>
      </c>
      <c r="J2" s="11">
        <v>2021</v>
      </c>
      <c r="L2" s="12" t="s">
        <v>1</v>
      </c>
    </row>
    <row r="3" spans="1:14">
      <c r="A3" s="3" t="s">
        <v>2</v>
      </c>
      <c r="B3" s="13"/>
      <c r="C3" s="13"/>
      <c r="D3" s="13">
        <v>8726</v>
      </c>
      <c r="E3" s="13">
        <v>12786</v>
      </c>
      <c r="F3" s="13">
        <v>40525</v>
      </c>
      <c r="G3" s="13">
        <v>103085</v>
      </c>
      <c r="H3" s="13">
        <v>176164</v>
      </c>
      <c r="I3" s="13">
        <v>260674</v>
      </c>
      <c r="J3" s="13">
        <v>437629</v>
      </c>
      <c r="L3" s="9">
        <f>G3-F3</f>
        <v>62560</v>
      </c>
    </row>
    <row r="4" spans="1:14">
      <c r="A4" s="3" t="s">
        <v>3</v>
      </c>
      <c r="B4" s="13"/>
      <c r="C4" s="13"/>
      <c r="D4" s="13">
        <v>2196</v>
      </c>
      <c r="E4" s="13">
        <v>4189</v>
      </c>
      <c r="F4" s="13">
        <v>10814</v>
      </c>
      <c r="G4" s="13">
        <v>29025</v>
      </c>
      <c r="H4" s="13">
        <v>58589</v>
      </c>
      <c r="I4" s="13">
        <v>83683</v>
      </c>
      <c r="J4" s="13">
        <v>143593</v>
      </c>
      <c r="L4" s="9"/>
    </row>
    <row r="5" spans="1:14">
      <c r="A5" s="3" t="s">
        <v>4</v>
      </c>
      <c r="B5" s="13"/>
      <c r="C5" s="13"/>
      <c r="D5" s="13">
        <f t="shared" ref="D5:J5" si="0">D3-D4</f>
        <v>6530</v>
      </c>
      <c r="E5" s="13">
        <f t="shared" si="0"/>
        <v>8597</v>
      </c>
      <c r="F5" s="13">
        <f t="shared" si="0"/>
        <v>29711</v>
      </c>
      <c r="G5" s="13">
        <f t="shared" si="0"/>
        <v>74060</v>
      </c>
      <c r="H5" s="13">
        <f t="shared" si="0"/>
        <v>117575</v>
      </c>
      <c r="I5" s="13">
        <f t="shared" si="0"/>
        <v>176991</v>
      </c>
      <c r="J5" s="13">
        <f t="shared" si="0"/>
        <v>294036</v>
      </c>
      <c r="L5" s="9">
        <f t="shared" ref="L5:L13" si="1">G5-F5</f>
        <v>44349</v>
      </c>
    </row>
    <row r="6" spans="1:14">
      <c r="A6" s="3" t="s">
        <v>5</v>
      </c>
      <c r="B6" s="13"/>
      <c r="C6" s="13"/>
      <c r="D6" s="13">
        <v>2164</v>
      </c>
      <c r="E6" s="13">
        <v>2759</v>
      </c>
      <c r="F6" s="13">
        <v>7660</v>
      </c>
      <c r="G6" s="13">
        <v>21438</v>
      </c>
      <c r="H6" s="13">
        <v>42045</v>
      </c>
      <c r="I6" s="13">
        <v>59994</v>
      </c>
      <c r="J6" s="13">
        <v>93184</v>
      </c>
      <c r="L6" s="9"/>
    </row>
    <row r="7" spans="1:14">
      <c r="A7" s="3" t="s">
        <v>6</v>
      </c>
      <c r="B7" s="13"/>
      <c r="C7" s="13"/>
      <c r="D7" s="13">
        <v>3233</v>
      </c>
      <c r="E7" s="13">
        <v>4734</v>
      </c>
      <c r="F7" s="13">
        <v>13901</v>
      </c>
      <c r="G7" s="13">
        <v>35013</v>
      </c>
      <c r="H7" s="13">
        <v>56980</v>
      </c>
      <c r="I7" s="13">
        <v>86412</v>
      </c>
      <c r="J7" s="13">
        <v>139311</v>
      </c>
      <c r="L7" s="9">
        <f t="shared" si="1"/>
        <v>21112</v>
      </c>
    </row>
    <row r="8" spans="1:14">
      <c r="A8" s="3" t="s">
        <v>7</v>
      </c>
      <c r="B8" s="13"/>
      <c r="C8" s="13"/>
      <c r="D8" s="13">
        <f t="shared" ref="D8:J8" si="2">D5-D6-D7</f>
        <v>1133</v>
      </c>
      <c r="E8" s="13">
        <f t="shared" si="2"/>
        <v>1104</v>
      </c>
      <c r="F8" s="13">
        <f t="shared" si="2"/>
        <v>8150</v>
      </c>
      <c r="G8" s="13">
        <f t="shared" si="2"/>
        <v>17609</v>
      </c>
      <c r="H8" s="13">
        <f t="shared" si="2"/>
        <v>18550</v>
      </c>
      <c r="I8" s="13">
        <f t="shared" si="2"/>
        <v>30585</v>
      </c>
      <c r="J8" s="13">
        <f t="shared" si="2"/>
        <v>61541</v>
      </c>
      <c r="L8" s="9">
        <f t="shared" si="1"/>
        <v>9459</v>
      </c>
    </row>
    <row r="9" spans="1:14">
      <c r="A9" s="3" t="s">
        <v>8</v>
      </c>
      <c r="B9" s="13"/>
      <c r="C9" s="13"/>
      <c r="D9" s="13">
        <v>-0.6</v>
      </c>
      <c r="E9" s="13">
        <v>-0.2</v>
      </c>
      <c r="F9" s="13">
        <v>0</v>
      </c>
      <c r="G9" s="13">
        <v>41</v>
      </c>
      <c r="H9" s="13">
        <f>157-46</f>
        <v>111</v>
      </c>
      <c r="I9" s="13">
        <v>415</v>
      </c>
      <c r="J9" s="13">
        <f>426-1278</f>
        <v>-852</v>
      </c>
      <c r="L9" s="9">
        <f t="shared" si="1"/>
        <v>41</v>
      </c>
    </row>
    <row r="10" spans="1:14">
      <c r="A10" s="3" t="s">
        <v>9</v>
      </c>
      <c r="B10" s="13"/>
      <c r="C10" s="13"/>
      <c r="D10" s="13">
        <f t="shared" ref="D10:J10" si="3">D8-D9</f>
        <v>1133.5999999999999</v>
      </c>
      <c r="E10" s="13">
        <f t="shared" si="3"/>
        <v>1104.2</v>
      </c>
      <c r="F10" s="13">
        <f t="shared" si="3"/>
        <v>8150</v>
      </c>
      <c r="G10" s="13">
        <f t="shared" si="3"/>
        <v>17568</v>
      </c>
      <c r="H10" s="13">
        <f t="shared" si="3"/>
        <v>18439</v>
      </c>
      <c r="I10" s="13">
        <f t="shared" si="3"/>
        <v>30170</v>
      </c>
      <c r="J10" s="13">
        <f t="shared" si="3"/>
        <v>62393</v>
      </c>
      <c r="L10" s="9"/>
    </row>
    <row r="11" spans="1:14">
      <c r="A11" s="3" t="s">
        <v>10</v>
      </c>
      <c r="B11" s="13"/>
      <c r="C11" s="13"/>
      <c r="D11" s="13">
        <v>284</v>
      </c>
      <c r="E11" s="13">
        <v>225</v>
      </c>
      <c r="F11" s="13">
        <v>1629</v>
      </c>
      <c r="G11" s="13">
        <v>3408</v>
      </c>
      <c r="H11" s="13">
        <v>3448</v>
      </c>
      <c r="I11" s="13">
        <v>5738</v>
      </c>
      <c r="J11" s="13">
        <v>13503</v>
      </c>
      <c r="L11" s="9">
        <f t="shared" si="1"/>
        <v>1779</v>
      </c>
    </row>
    <row r="12" spans="1:14">
      <c r="A12" s="3" t="s">
        <v>11</v>
      </c>
      <c r="B12" s="13"/>
      <c r="C12" s="13"/>
      <c r="D12" s="13">
        <f t="shared" ref="D12:J12" si="4">D10-D11</f>
        <v>849.59999999999991</v>
      </c>
      <c r="E12" s="13">
        <f t="shared" si="4"/>
        <v>879.2</v>
      </c>
      <c r="F12" s="13">
        <f t="shared" si="4"/>
        <v>6521</v>
      </c>
      <c r="G12" s="13">
        <f t="shared" si="4"/>
        <v>14160</v>
      </c>
      <c r="H12" s="13">
        <f t="shared" si="4"/>
        <v>14991</v>
      </c>
      <c r="I12" s="13">
        <f t="shared" si="4"/>
        <v>24432</v>
      </c>
      <c r="J12" s="13">
        <f t="shared" si="4"/>
        <v>48890</v>
      </c>
      <c r="L12" s="9">
        <f t="shared" si="1"/>
        <v>7639</v>
      </c>
      <c r="N12" s="9"/>
    </row>
    <row r="13" spans="1:14">
      <c r="A13" s="3" t="s">
        <v>12</v>
      </c>
      <c r="B13" s="13">
        <v>2</v>
      </c>
      <c r="C13" s="13">
        <v>15</v>
      </c>
      <c r="D13" s="13">
        <v>71</v>
      </c>
      <c r="E13" s="13">
        <v>122</v>
      </c>
      <c r="F13" s="13">
        <v>174</v>
      </c>
      <c r="G13" s="13">
        <v>357</v>
      </c>
      <c r="H13" s="13">
        <v>869</v>
      </c>
      <c r="I13" s="13">
        <v>2021</v>
      </c>
      <c r="J13" s="13"/>
      <c r="L13" s="9">
        <f t="shared" si="1"/>
        <v>183</v>
      </c>
    </row>
    <row r="14" spans="1:14">
      <c r="A14" t="s">
        <v>13</v>
      </c>
      <c r="B14" s="13"/>
      <c r="C14" s="13"/>
      <c r="D14" s="13">
        <v>3.5</v>
      </c>
      <c r="E14" s="13">
        <v>3.5</v>
      </c>
      <c r="F14" s="13"/>
      <c r="G14" s="13">
        <v>96</v>
      </c>
      <c r="H14" s="13">
        <v>29</v>
      </c>
      <c r="I14" s="13">
        <v>587</v>
      </c>
      <c r="J14" s="13"/>
    </row>
    <row r="16" spans="1:14">
      <c r="A16" s="21" t="s">
        <v>14</v>
      </c>
      <c r="B16" s="21"/>
      <c r="C16" s="21"/>
      <c r="D16" s="21"/>
      <c r="E16" s="21"/>
      <c r="F16" s="21"/>
      <c r="G16" s="21"/>
      <c r="H16" s="20"/>
      <c r="I16" s="20"/>
      <c r="J16" s="20"/>
    </row>
    <row r="17" spans="1:14">
      <c r="F17" s="11"/>
      <c r="G17" s="11"/>
      <c r="H17" s="11"/>
      <c r="I17" s="11"/>
      <c r="J17" s="11"/>
      <c r="L17" s="12" t="s">
        <v>1</v>
      </c>
    </row>
    <row r="18" spans="1:14">
      <c r="A18" t="s">
        <v>15</v>
      </c>
      <c r="B18" s="2">
        <v>57</v>
      </c>
      <c r="C18" s="2">
        <v>994</v>
      </c>
      <c r="D18" s="2">
        <v>1026</v>
      </c>
      <c r="E18" s="2">
        <v>1729</v>
      </c>
      <c r="F18" s="2">
        <v>9327</v>
      </c>
      <c r="G18" s="2">
        <v>21073</v>
      </c>
      <c r="H18" s="2">
        <v>30224</v>
      </c>
      <c r="I18" s="2">
        <v>70377</v>
      </c>
      <c r="J18" s="2">
        <v>43325</v>
      </c>
      <c r="L18" s="12"/>
    </row>
    <row r="19" spans="1:14">
      <c r="A19" t="s">
        <v>16</v>
      </c>
      <c r="B19" s="2">
        <v>0.9</v>
      </c>
      <c r="C19" s="2">
        <v>92</v>
      </c>
      <c r="D19" s="2">
        <v>618</v>
      </c>
      <c r="E19" s="2">
        <v>1803</v>
      </c>
      <c r="F19" s="2">
        <v>3601</v>
      </c>
      <c r="G19" s="2">
        <v>6677</v>
      </c>
      <c r="H19" s="2">
        <v>12002</v>
      </c>
      <c r="I19" s="2">
        <v>8035</v>
      </c>
      <c r="J19" s="2">
        <v>58631</v>
      </c>
      <c r="L19" s="9">
        <f>G19-F19</f>
        <v>3076</v>
      </c>
    </row>
    <row r="20" spans="1:14">
      <c r="A20" t="s">
        <v>17</v>
      </c>
      <c r="B20" s="2">
        <v>125</v>
      </c>
      <c r="C20" s="2">
        <v>436</v>
      </c>
      <c r="D20" s="2">
        <v>960</v>
      </c>
      <c r="E20" s="2">
        <v>912</v>
      </c>
      <c r="F20" s="2">
        <v>1738</v>
      </c>
      <c r="G20" s="2">
        <v>12071</v>
      </c>
      <c r="H20" s="2">
        <v>22536</v>
      </c>
      <c r="I20" s="2">
        <v>28233</v>
      </c>
      <c r="J20" s="2">
        <v>60289</v>
      </c>
      <c r="L20" s="9">
        <f t="shared" ref="L20:L38" si="5">G20-F20</f>
        <v>10333</v>
      </c>
    </row>
    <row r="21" spans="1:14">
      <c r="A21" s="3" t="s">
        <v>18</v>
      </c>
      <c r="B21" s="2">
        <f t="shared" ref="B21:J21" si="6">B18+B19+B20</f>
        <v>182.9</v>
      </c>
      <c r="C21" s="2">
        <f t="shared" si="6"/>
        <v>1522</v>
      </c>
      <c r="D21" s="2">
        <f t="shared" si="6"/>
        <v>2604</v>
      </c>
      <c r="E21" s="2">
        <f t="shared" si="6"/>
        <v>4444</v>
      </c>
      <c r="F21" s="2">
        <f t="shared" si="6"/>
        <v>14666</v>
      </c>
      <c r="G21" s="2">
        <f t="shared" si="6"/>
        <v>39821</v>
      </c>
      <c r="H21" s="2">
        <f t="shared" si="6"/>
        <v>64762</v>
      </c>
      <c r="I21" s="2">
        <f t="shared" si="6"/>
        <v>106645</v>
      </c>
      <c r="J21" s="2">
        <f t="shared" si="6"/>
        <v>162245</v>
      </c>
      <c r="L21" s="9">
        <f t="shared" si="5"/>
        <v>25155</v>
      </c>
    </row>
    <row r="22" spans="1:14">
      <c r="A22" s="3" t="s">
        <v>19</v>
      </c>
      <c r="B22" s="2">
        <v>7</v>
      </c>
      <c r="C22" s="2">
        <v>7</v>
      </c>
      <c r="D22" s="2">
        <v>3.5</v>
      </c>
      <c r="E22" s="2">
        <v>0</v>
      </c>
      <c r="F22" s="2">
        <v>0</v>
      </c>
      <c r="G22" s="2">
        <v>330</v>
      </c>
      <c r="H22" s="2">
        <v>1337</v>
      </c>
      <c r="I22" s="2">
        <v>818</v>
      </c>
      <c r="J22" s="2">
        <v>187</v>
      </c>
      <c r="L22" s="9"/>
    </row>
    <row r="23" spans="1:14">
      <c r="A23" s="3" t="s">
        <v>20</v>
      </c>
      <c r="B23" s="2">
        <v>5</v>
      </c>
      <c r="C23" s="2">
        <v>42</v>
      </c>
      <c r="D23" s="2">
        <v>354</v>
      </c>
      <c r="E23" s="2">
        <v>354</v>
      </c>
      <c r="F23" s="2">
        <v>723</v>
      </c>
      <c r="G23" s="2">
        <v>4179</v>
      </c>
      <c r="H23" s="2">
        <v>9543</v>
      </c>
      <c r="I23" s="2">
        <v>12959</v>
      </c>
      <c r="J23" s="2">
        <v>26133</v>
      </c>
      <c r="L23" s="9"/>
    </row>
    <row r="24" spans="1:14">
      <c r="A24" t="s">
        <v>21</v>
      </c>
      <c r="B24" s="2">
        <f t="shared" ref="B24:J24" si="7">B22+B23</f>
        <v>12</v>
      </c>
      <c r="C24" s="2">
        <f t="shared" si="7"/>
        <v>49</v>
      </c>
      <c r="D24" s="2">
        <f t="shared" si="7"/>
        <v>357.5</v>
      </c>
      <c r="E24" s="2">
        <f t="shared" si="7"/>
        <v>354</v>
      </c>
      <c r="F24" s="2">
        <f t="shared" si="7"/>
        <v>723</v>
      </c>
      <c r="G24" s="2">
        <f t="shared" si="7"/>
        <v>4509</v>
      </c>
      <c r="H24" s="2">
        <f t="shared" si="7"/>
        <v>10880</v>
      </c>
      <c r="I24" s="2">
        <f t="shared" si="7"/>
        <v>13777</v>
      </c>
      <c r="J24" s="2">
        <f t="shared" si="7"/>
        <v>26320</v>
      </c>
      <c r="L24" s="9">
        <f t="shared" si="5"/>
        <v>3786</v>
      </c>
    </row>
    <row r="25" spans="1:14">
      <c r="A25" s="3" t="s">
        <v>22</v>
      </c>
      <c r="B25" s="2">
        <f t="shared" ref="B25:J25" si="8">B21+B24</f>
        <v>194.9</v>
      </c>
      <c r="C25" s="2">
        <f t="shared" si="8"/>
        <v>1571</v>
      </c>
      <c r="D25" s="2">
        <f t="shared" si="8"/>
        <v>2961.5</v>
      </c>
      <c r="E25" s="2">
        <f t="shared" si="8"/>
        <v>4798</v>
      </c>
      <c r="F25" s="2">
        <f t="shared" si="8"/>
        <v>15389</v>
      </c>
      <c r="G25" s="2">
        <f t="shared" si="8"/>
        <v>44330</v>
      </c>
      <c r="H25" s="2">
        <f t="shared" si="8"/>
        <v>75642</v>
      </c>
      <c r="I25" s="2">
        <f t="shared" si="8"/>
        <v>120422</v>
      </c>
      <c r="J25" s="2">
        <f t="shared" si="8"/>
        <v>188565</v>
      </c>
      <c r="L25" s="9">
        <f t="shared" si="5"/>
        <v>28941</v>
      </c>
      <c r="N25" s="9"/>
    </row>
    <row r="26" spans="1:14">
      <c r="B26" s="13"/>
      <c r="C26" s="13"/>
      <c r="D26" s="13"/>
      <c r="E26" s="13"/>
      <c r="F26" s="2"/>
      <c r="G26" s="2"/>
      <c r="H26" s="2"/>
      <c r="I26" s="2"/>
      <c r="J26" s="2"/>
      <c r="L26" s="9"/>
    </row>
    <row r="27" spans="1:14">
      <c r="A27" t="s">
        <v>23</v>
      </c>
      <c r="B27" s="13">
        <f>B13+B14</f>
        <v>2</v>
      </c>
      <c r="C27" s="13">
        <f>B27+C13+C14</f>
        <v>17</v>
      </c>
      <c r="D27" s="13">
        <f t="shared" ref="D27:J27" si="9">C27+D13+D14</f>
        <v>91.5</v>
      </c>
      <c r="E27" s="13">
        <f t="shared" si="9"/>
        <v>217</v>
      </c>
      <c r="F27" s="13">
        <f t="shared" si="9"/>
        <v>391</v>
      </c>
      <c r="G27" s="13">
        <f t="shared" si="9"/>
        <v>844</v>
      </c>
      <c r="H27" s="13">
        <f t="shared" si="9"/>
        <v>1742</v>
      </c>
      <c r="I27" s="13">
        <f t="shared" si="9"/>
        <v>4350</v>
      </c>
      <c r="J27" s="13">
        <f t="shared" si="9"/>
        <v>4350</v>
      </c>
      <c r="L27" s="9"/>
    </row>
    <row r="28" spans="1:14">
      <c r="B28" s="13"/>
      <c r="C28" s="13"/>
      <c r="D28" s="13"/>
      <c r="E28" s="13"/>
      <c r="F28" s="2"/>
      <c r="G28" s="2"/>
      <c r="H28" s="2"/>
      <c r="I28" s="2"/>
      <c r="J28" s="2"/>
      <c r="L28" s="9"/>
    </row>
    <row r="29" spans="1:14">
      <c r="A29" t="s">
        <v>24</v>
      </c>
      <c r="B29" s="13">
        <v>104</v>
      </c>
      <c r="C29" s="13">
        <v>393</v>
      </c>
      <c r="D29" s="13">
        <v>985</v>
      </c>
      <c r="E29" s="13">
        <v>2112</v>
      </c>
      <c r="F29" s="2">
        <v>6276</v>
      </c>
      <c r="G29" s="2">
        <v>20020</v>
      </c>
      <c r="H29" s="2">
        <v>32373</v>
      </c>
      <c r="I29" s="2">
        <v>55889</v>
      </c>
      <c r="J29" s="2">
        <v>78466</v>
      </c>
      <c r="L29" s="9">
        <f t="shared" si="5"/>
        <v>13744</v>
      </c>
      <c r="N29" s="9"/>
    </row>
    <row r="30" spans="1:14">
      <c r="A30" t="s">
        <v>25</v>
      </c>
      <c r="B30" s="13"/>
      <c r="C30" s="13"/>
      <c r="D30" s="13"/>
      <c r="E30" s="13"/>
      <c r="F30" s="2"/>
      <c r="G30" s="2"/>
      <c r="H30" s="2"/>
      <c r="I30" s="2"/>
      <c r="J30" s="2"/>
      <c r="L30" s="9">
        <f t="shared" si="5"/>
        <v>0</v>
      </c>
      <c r="N30" s="9"/>
    </row>
    <row r="31" spans="1:14">
      <c r="A31" t="s">
        <v>26</v>
      </c>
      <c r="B31" s="13"/>
      <c r="C31" s="13"/>
      <c r="D31" s="13">
        <v>71</v>
      </c>
      <c r="E31" s="13">
        <v>71</v>
      </c>
      <c r="F31" s="2">
        <v>72</v>
      </c>
      <c r="G31" s="2">
        <v>57</v>
      </c>
      <c r="H31" s="2">
        <v>26</v>
      </c>
      <c r="I31" s="2">
        <v>1022</v>
      </c>
      <c r="J31" s="2">
        <v>1186</v>
      </c>
      <c r="L31" s="9"/>
      <c r="N31" s="9"/>
    </row>
    <row r="32" spans="1:14">
      <c r="A32" s="3" t="s">
        <v>27</v>
      </c>
      <c r="B32" s="13">
        <f t="shared" ref="B32:J32" si="10">B29+B30+B31</f>
        <v>104</v>
      </c>
      <c r="C32" s="13">
        <f t="shared" si="10"/>
        <v>393</v>
      </c>
      <c r="D32" s="18">
        <f t="shared" si="10"/>
        <v>1056</v>
      </c>
      <c r="E32" s="18">
        <f t="shared" si="10"/>
        <v>2183</v>
      </c>
      <c r="F32" s="18">
        <f t="shared" si="10"/>
        <v>6348</v>
      </c>
      <c r="G32" s="18">
        <f t="shared" si="10"/>
        <v>20077</v>
      </c>
      <c r="H32" s="18">
        <f t="shared" si="10"/>
        <v>32399</v>
      </c>
      <c r="I32" s="18">
        <f t="shared" si="10"/>
        <v>56911</v>
      </c>
      <c r="J32" s="18">
        <f t="shared" si="10"/>
        <v>79652</v>
      </c>
      <c r="L32" s="9">
        <f t="shared" si="5"/>
        <v>13729</v>
      </c>
      <c r="N32" s="9"/>
    </row>
    <row r="33" spans="1:14">
      <c r="A33" t="s">
        <v>28</v>
      </c>
      <c r="B33" s="13"/>
      <c r="C33" s="13"/>
      <c r="D33" s="13"/>
      <c r="E33" s="13"/>
      <c r="F33" s="2">
        <v>0</v>
      </c>
      <c r="G33" s="2">
        <v>1053</v>
      </c>
      <c r="H33" s="2">
        <v>5052</v>
      </c>
      <c r="I33" s="2">
        <v>3488</v>
      </c>
      <c r="J33" s="2">
        <v>0</v>
      </c>
      <c r="L33" s="9">
        <f t="shared" si="5"/>
        <v>1053</v>
      </c>
    </row>
    <row r="34" spans="1:14">
      <c r="A34" s="3" t="s">
        <v>29</v>
      </c>
      <c r="B34" s="13">
        <f t="shared" ref="B34:J34" si="11">B32+B33</f>
        <v>104</v>
      </c>
      <c r="C34" s="13">
        <f t="shared" si="11"/>
        <v>393</v>
      </c>
      <c r="D34" s="13">
        <f t="shared" si="11"/>
        <v>1056</v>
      </c>
      <c r="E34" s="13">
        <f t="shared" si="11"/>
        <v>2183</v>
      </c>
      <c r="F34" s="13">
        <f t="shared" si="11"/>
        <v>6348</v>
      </c>
      <c r="G34" s="13">
        <f t="shared" si="11"/>
        <v>21130</v>
      </c>
      <c r="H34" s="13">
        <f t="shared" si="11"/>
        <v>37451</v>
      </c>
      <c r="I34" s="13">
        <f t="shared" si="11"/>
        <v>60399</v>
      </c>
      <c r="J34" s="13">
        <f t="shared" si="11"/>
        <v>79652</v>
      </c>
      <c r="L34" s="9">
        <f t="shared" si="5"/>
        <v>14782</v>
      </c>
    </row>
    <row r="35" spans="1:14">
      <c r="B35" s="13"/>
      <c r="C35" s="13"/>
      <c r="D35" s="13"/>
      <c r="E35" s="13"/>
      <c r="F35" s="2"/>
      <c r="G35" s="2"/>
      <c r="H35" s="2"/>
      <c r="I35" s="2"/>
      <c r="J35" s="2"/>
      <c r="L35" s="9"/>
    </row>
    <row r="36" spans="1:14">
      <c r="A36" t="s">
        <v>30</v>
      </c>
      <c r="B36" s="13">
        <v>2E-3</v>
      </c>
      <c r="C36" s="13">
        <v>2E-3</v>
      </c>
      <c r="D36" s="13">
        <v>2E-3</v>
      </c>
      <c r="E36" s="13">
        <v>2E-3</v>
      </c>
      <c r="F36" s="13">
        <v>2E-3</v>
      </c>
      <c r="G36" s="13">
        <v>2E-3</v>
      </c>
      <c r="H36" s="13">
        <v>2E-3</v>
      </c>
      <c r="I36" s="13">
        <v>2E-3</v>
      </c>
      <c r="J36" s="13">
        <v>2E-3</v>
      </c>
      <c r="L36" s="9">
        <f t="shared" si="5"/>
        <v>0</v>
      </c>
    </row>
    <row r="37" spans="1:14">
      <c r="A37" t="s">
        <v>31</v>
      </c>
      <c r="B37" s="13">
        <v>90</v>
      </c>
      <c r="C37" s="13">
        <v>1178</v>
      </c>
      <c r="D37" s="13">
        <v>1906</v>
      </c>
      <c r="E37" s="13">
        <v>2615</v>
      </c>
      <c r="F37" s="2">
        <v>9041</v>
      </c>
      <c r="G37" s="2">
        <v>23200</v>
      </c>
      <c r="H37" s="2">
        <v>38191</v>
      </c>
      <c r="I37" s="2">
        <v>60023</v>
      </c>
      <c r="J37" s="2">
        <v>108913</v>
      </c>
      <c r="L37" s="9">
        <f t="shared" si="5"/>
        <v>14159</v>
      </c>
      <c r="N37" s="9"/>
    </row>
    <row r="38" spans="1:14">
      <c r="A38" s="3" t="s">
        <v>32</v>
      </c>
      <c r="B38" s="13">
        <f t="shared" ref="B38:J38" si="12">B36+B37</f>
        <v>90.001999999999995</v>
      </c>
      <c r="C38" s="13">
        <f t="shared" si="12"/>
        <v>1178.002</v>
      </c>
      <c r="D38" s="13">
        <f t="shared" si="12"/>
        <v>1906.002</v>
      </c>
      <c r="E38" s="13">
        <f t="shared" si="12"/>
        <v>2615.002</v>
      </c>
      <c r="F38" s="2">
        <f t="shared" si="12"/>
        <v>9041.0020000000004</v>
      </c>
      <c r="G38" s="2">
        <f t="shared" si="12"/>
        <v>23200.002</v>
      </c>
      <c r="H38" s="2">
        <f t="shared" si="12"/>
        <v>38191.002</v>
      </c>
      <c r="I38" s="2">
        <f t="shared" si="12"/>
        <v>60023.002</v>
      </c>
      <c r="J38" s="2">
        <f t="shared" si="12"/>
        <v>108913.00199999999</v>
      </c>
      <c r="L38" s="9">
        <f t="shared" si="5"/>
        <v>14159</v>
      </c>
    </row>
    <row r="39" spans="1:14">
      <c r="B39" s="13"/>
      <c r="C39" s="13"/>
      <c r="D39" s="13"/>
      <c r="E39" s="13"/>
      <c r="F39" s="2"/>
      <c r="G39" s="2"/>
      <c r="H39" s="2"/>
      <c r="I39" s="2"/>
      <c r="J39" s="2"/>
    </row>
    <row r="40" spans="1:14">
      <c r="A40" t="s">
        <v>33</v>
      </c>
      <c r="B40" s="13">
        <f>B38+B34-B25</f>
        <v>-0.89799999999999613</v>
      </c>
      <c r="C40" s="13">
        <f t="shared" ref="C40:J40" si="13">C38+C34-C25</f>
        <v>1.9999999999527063E-3</v>
      </c>
      <c r="D40" s="13">
        <f t="shared" si="13"/>
        <v>0.50199999999995271</v>
      </c>
      <c r="E40" s="13">
        <f t="shared" si="13"/>
        <v>2.0000000004074536E-3</v>
      </c>
      <c r="F40" s="2">
        <f t="shared" si="13"/>
        <v>2.0000000004074536E-3</v>
      </c>
      <c r="G40" s="2">
        <f t="shared" si="13"/>
        <v>2.0000000004074536E-3</v>
      </c>
      <c r="H40" s="2">
        <f t="shared" si="13"/>
        <v>2.0000000076834112E-3</v>
      </c>
      <c r="I40" s="2">
        <f t="shared" si="13"/>
        <v>2.0000000076834112E-3</v>
      </c>
      <c r="J40" s="2">
        <f t="shared" si="13"/>
        <v>1.9999999785795808E-3</v>
      </c>
    </row>
    <row r="41" spans="1:14">
      <c r="B41" s="13"/>
      <c r="C41" s="13"/>
      <c r="D41" s="13"/>
      <c r="E41" s="13"/>
      <c r="F41" s="2"/>
      <c r="G41" s="2"/>
      <c r="H41" s="2"/>
      <c r="I41" s="2"/>
      <c r="J41" s="2"/>
    </row>
    <row r="42" spans="1:14">
      <c r="F42" s="2"/>
      <c r="G42" s="2"/>
      <c r="H42" s="2"/>
      <c r="I42" s="2"/>
      <c r="J42" s="2"/>
    </row>
    <row r="43" spans="1:14">
      <c r="A43" t="s">
        <v>34</v>
      </c>
      <c r="D43" s="8">
        <f>D4/D3</f>
        <v>0.25166170066468024</v>
      </c>
      <c r="E43" s="8">
        <f t="shared" ref="E43:J43" si="14">E4/E3</f>
        <v>0.32762396371030816</v>
      </c>
      <c r="F43" s="8">
        <f t="shared" si="14"/>
        <v>0.26684762492288711</v>
      </c>
      <c r="G43" s="8">
        <f t="shared" si="14"/>
        <v>0.28156375806373379</v>
      </c>
      <c r="H43" s="8">
        <f t="shared" si="14"/>
        <v>0.33258213937013237</v>
      </c>
      <c r="I43" s="8">
        <f t="shared" si="14"/>
        <v>0.32102549544641967</v>
      </c>
      <c r="J43" s="8">
        <f t="shared" si="14"/>
        <v>0.32811582413414103</v>
      </c>
    </row>
    <row r="44" spans="1:14">
      <c r="A44" t="s">
        <v>35</v>
      </c>
      <c r="D44" s="8">
        <f>D6/D3</f>
        <v>0.24799449919779967</v>
      </c>
      <c r="E44" s="8">
        <f t="shared" ref="E44:J44" si="15">E6/E3</f>
        <v>0.21578288753323949</v>
      </c>
      <c r="F44" s="8">
        <f t="shared" si="15"/>
        <v>0.1890191239975324</v>
      </c>
      <c r="G44" s="8">
        <f t="shared" si="15"/>
        <v>0.20796430130474852</v>
      </c>
      <c r="H44" s="8">
        <f t="shared" si="15"/>
        <v>0.23866964873640473</v>
      </c>
      <c r="I44" s="8">
        <f t="shared" si="15"/>
        <v>0.23014953543506447</v>
      </c>
      <c r="J44" s="8">
        <f t="shared" si="15"/>
        <v>0.21292921629965109</v>
      </c>
    </row>
    <row r="45" spans="1:14">
      <c r="A45" t="s">
        <v>6</v>
      </c>
      <c r="D45" s="8">
        <f>D7/D3</f>
        <v>0.37050194820077931</v>
      </c>
      <c r="E45" s="8">
        <f t="shared" ref="E45:J45" si="16">E7/E3</f>
        <v>0.37024870952604411</v>
      </c>
      <c r="F45" s="8">
        <f t="shared" si="16"/>
        <v>0.3430228254164096</v>
      </c>
      <c r="G45" s="8">
        <f t="shared" si="16"/>
        <v>0.33965174370664986</v>
      </c>
      <c r="H45" s="8">
        <f t="shared" si="16"/>
        <v>0.32344860470924819</v>
      </c>
      <c r="I45" s="8">
        <f t="shared" si="16"/>
        <v>0.33149451038461836</v>
      </c>
      <c r="J45" s="8">
        <f t="shared" si="16"/>
        <v>0.31833128060526156</v>
      </c>
    </row>
    <row r="46" spans="1:14">
      <c r="F46" s="2"/>
      <c r="G46" s="2"/>
      <c r="H46" s="2"/>
      <c r="I46" s="2"/>
      <c r="J46" s="2"/>
    </row>
    <row r="47" spans="1:14">
      <c r="A47" t="s">
        <v>36</v>
      </c>
      <c r="D47" s="8">
        <f>1-D43-D44-D45</f>
        <v>0.1298418519367408</v>
      </c>
      <c r="E47" s="8">
        <f t="shared" ref="E47:J47" si="17">1-E43-E44-E45</f>
        <v>8.6344439230408188E-2</v>
      </c>
      <c r="F47" s="8">
        <f t="shared" si="17"/>
        <v>0.20111042566317094</v>
      </c>
      <c r="G47" s="8">
        <f t="shared" si="17"/>
        <v>0.17082019692486783</v>
      </c>
      <c r="H47" s="8">
        <f t="shared" si="17"/>
        <v>0.10529960718421472</v>
      </c>
      <c r="I47" s="8">
        <f t="shared" si="17"/>
        <v>0.11733045873389752</v>
      </c>
      <c r="J47" s="8">
        <f t="shared" si="17"/>
        <v>0.14062367896094624</v>
      </c>
    </row>
    <row r="48" spans="1:14">
      <c r="F48" s="2"/>
      <c r="G48" s="2"/>
      <c r="H48" s="2"/>
      <c r="I48" s="2"/>
      <c r="J48" s="2"/>
    </row>
    <row r="49" spans="1:10">
      <c r="A49" t="s">
        <v>37</v>
      </c>
      <c r="D49" s="8">
        <f>D12/D3</f>
        <v>9.7364198945679561E-2</v>
      </c>
      <c r="E49" s="8">
        <f t="shared" ref="E49:J49" si="18">E12/E3</f>
        <v>6.8762709213201947E-2</v>
      </c>
      <c r="F49" s="8">
        <f t="shared" si="18"/>
        <v>0.16091301665638494</v>
      </c>
      <c r="G49" s="8">
        <f t="shared" si="18"/>
        <v>0.13736237085899985</v>
      </c>
      <c r="H49" s="8">
        <f t="shared" si="18"/>
        <v>8.5096841579437338E-2</v>
      </c>
      <c r="I49" s="8">
        <f t="shared" si="18"/>
        <v>9.3726263455503805E-2</v>
      </c>
      <c r="J49" s="8">
        <f t="shared" si="18"/>
        <v>0.1117156312767207</v>
      </c>
    </row>
    <row r="50" spans="1:10">
      <c r="F50" s="2"/>
      <c r="G50" s="2"/>
      <c r="H50" s="2"/>
      <c r="I50" s="2"/>
      <c r="J50" s="2"/>
    </row>
    <row r="51" spans="1:10">
      <c r="H51" s="2"/>
      <c r="I51" s="2"/>
      <c r="J51" s="2"/>
    </row>
    <row r="52" spans="1:10">
      <c r="H52" s="2"/>
      <c r="I52" s="2"/>
      <c r="J52" s="2"/>
    </row>
    <row r="53" spans="1:10">
      <c r="H53" s="2"/>
      <c r="I53" s="2"/>
      <c r="J53" s="2"/>
    </row>
  </sheetData>
  <mergeCells count="2">
    <mergeCell ref="A1:G1"/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opLeftCell="A8" zoomScale="150" zoomScaleNormal="150" workbookViewId="0">
      <selection activeCell="B9" sqref="B9"/>
    </sheetView>
  </sheetViews>
  <sheetFormatPr defaultColWidth="11" defaultRowHeight="15.95"/>
  <cols>
    <col min="1" max="1" width="19.125" customWidth="1"/>
    <col min="2" max="2" width="12.625" customWidth="1"/>
  </cols>
  <sheetData>
    <row r="1" spans="1:8">
      <c r="B1" s="11">
        <v>2015</v>
      </c>
      <c r="C1" s="11">
        <v>2016</v>
      </c>
      <c r="D1" s="11">
        <v>2017</v>
      </c>
      <c r="E1" s="11">
        <v>2018</v>
      </c>
      <c r="F1" s="11">
        <v>2019</v>
      </c>
      <c r="G1" s="11">
        <v>2020</v>
      </c>
      <c r="H1" s="11">
        <v>2021</v>
      </c>
    </row>
    <row r="2" spans="1:8">
      <c r="A2" s="3" t="s">
        <v>38</v>
      </c>
      <c r="B2" s="1">
        <f>Statements!D38</f>
        <v>1906.002</v>
      </c>
      <c r="C2" s="1">
        <f>Statements!E38</f>
        <v>2615.002</v>
      </c>
      <c r="D2" s="1">
        <f>Statements!F38</f>
        <v>9041.0020000000004</v>
      </c>
      <c r="E2" s="1">
        <f>Statements!G38</f>
        <v>23200.002</v>
      </c>
      <c r="F2" s="1">
        <f>Statements!H38</f>
        <v>38191.002</v>
      </c>
      <c r="G2" s="1">
        <f>Statements!I38</f>
        <v>60023.002</v>
      </c>
      <c r="H2" s="1">
        <f>Statements!J38</f>
        <v>108913.00199999999</v>
      </c>
    </row>
    <row r="3" spans="1:8">
      <c r="A3" s="3" t="s">
        <v>39</v>
      </c>
      <c r="B3" s="1">
        <f>Statements!D30+Statements!D33</f>
        <v>0</v>
      </c>
      <c r="C3" s="1">
        <f>Statements!E30+Statements!E33</f>
        <v>0</v>
      </c>
      <c r="D3" s="1">
        <f>Statements!F30+Statements!F33</f>
        <v>0</v>
      </c>
      <c r="E3" s="1">
        <f>Statements!G30+Statements!G33</f>
        <v>1053</v>
      </c>
      <c r="F3" s="1">
        <f>Statements!H30+Statements!H33</f>
        <v>5052</v>
      </c>
      <c r="G3" s="1">
        <f>Statements!I30+Statements!I33</f>
        <v>3488</v>
      </c>
      <c r="H3" s="1">
        <f>Statements!J30+Statements!J33</f>
        <v>0</v>
      </c>
    </row>
    <row r="4" spans="1:8">
      <c r="A4" s="3"/>
    </row>
    <row r="5" spans="1:8">
      <c r="A5" s="3" t="s">
        <v>40</v>
      </c>
      <c r="B5" s="6">
        <f>B2+B3</f>
        <v>1906.002</v>
      </c>
      <c r="C5" s="6">
        <f t="shared" ref="C5:H5" si="0">C2+C3</f>
        <v>2615.002</v>
      </c>
      <c r="D5" s="6">
        <f t="shared" si="0"/>
        <v>9041.0020000000004</v>
      </c>
      <c r="E5" s="6">
        <f t="shared" si="0"/>
        <v>24253.002</v>
      </c>
      <c r="F5" s="6">
        <f t="shared" si="0"/>
        <v>43243.002</v>
      </c>
      <c r="G5" s="6">
        <f t="shared" si="0"/>
        <v>63511.002</v>
      </c>
      <c r="H5" s="6">
        <f t="shared" si="0"/>
        <v>108913.00199999999</v>
      </c>
    </row>
    <row r="8" spans="1:8">
      <c r="A8" s="3" t="s">
        <v>41</v>
      </c>
      <c r="B8" s="1">
        <f>Statements!D21-Statements!D32</f>
        <v>1548</v>
      </c>
      <c r="C8" s="1">
        <f>Statements!E21-Statements!E32</f>
        <v>2261</v>
      </c>
      <c r="D8" s="1">
        <f>Statements!F21-Statements!F32</f>
        <v>8318</v>
      </c>
      <c r="E8" s="1">
        <f>Statements!G21-Statements!G32</f>
        <v>19744</v>
      </c>
      <c r="F8" s="1">
        <f>Statements!H21-Statements!H32</f>
        <v>32363</v>
      </c>
      <c r="G8" s="1">
        <f>Statements!I21-Statements!I32</f>
        <v>49734</v>
      </c>
      <c r="H8" s="1">
        <f>Statements!J21-Statements!J32</f>
        <v>82593</v>
      </c>
    </row>
    <row r="9" spans="1:8">
      <c r="A9" s="3" t="s">
        <v>42</v>
      </c>
      <c r="B9" s="1">
        <f>Statements!D24</f>
        <v>357.5</v>
      </c>
      <c r="C9" s="1">
        <f>Statements!E24</f>
        <v>354</v>
      </c>
      <c r="D9" s="1">
        <f>Statements!F24</f>
        <v>723</v>
      </c>
      <c r="E9" s="1">
        <f>Statements!G24</f>
        <v>4509</v>
      </c>
      <c r="F9" s="1">
        <f>Statements!H24</f>
        <v>10880</v>
      </c>
      <c r="G9" s="1">
        <f>Statements!I24</f>
        <v>13777</v>
      </c>
      <c r="H9" s="1">
        <f>Statements!J24</f>
        <v>26320</v>
      </c>
    </row>
    <row r="11" spans="1:8">
      <c r="A11" s="3" t="s">
        <v>43</v>
      </c>
      <c r="B11" s="6">
        <f>B8+B9</f>
        <v>1905.5</v>
      </c>
      <c r="C11" s="6">
        <f t="shared" ref="C11:H11" si="1">C8+C9</f>
        <v>2615</v>
      </c>
      <c r="D11" s="6">
        <f t="shared" si="1"/>
        <v>9041</v>
      </c>
      <c r="E11" s="6">
        <f t="shared" si="1"/>
        <v>24253</v>
      </c>
      <c r="F11" s="6">
        <f t="shared" si="1"/>
        <v>43243</v>
      </c>
      <c r="G11" s="6">
        <f t="shared" si="1"/>
        <v>63511</v>
      </c>
      <c r="H11" s="6">
        <f t="shared" si="1"/>
        <v>108913</v>
      </c>
    </row>
    <row r="12" spans="1:8">
      <c r="B12" s="1"/>
    </row>
    <row r="13" spans="1:8">
      <c r="A13" t="s">
        <v>2</v>
      </c>
      <c r="B13" s="6">
        <f>Statements!D3</f>
        <v>8726</v>
      </c>
      <c r="C13" s="6">
        <f>Statements!E3</f>
        <v>12786</v>
      </c>
      <c r="D13" s="6">
        <f>Statements!F3</f>
        <v>40525</v>
      </c>
      <c r="E13" s="6">
        <f>Statements!G3</f>
        <v>103085</v>
      </c>
      <c r="F13" s="6">
        <f>Statements!H3</f>
        <v>176164</v>
      </c>
      <c r="G13" s="6">
        <f>Statements!I3</f>
        <v>260674</v>
      </c>
      <c r="H13" s="6">
        <f>Statements!J3</f>
        <v>437629</v>
      </c>
    </row>
    <row r="14" spans="1:8">
      <c r="A14" t="s">
        <v>7</v>
      </c>
      <c r="B14" s="6">
        <f>Statements!D8</f>
        <v>1133</v>
      </c>
      <c r="C14" s="6">
        <f>Statements!E8</f>
        <v>1104</v>
      </c>
      <c r="D14" s="6">
        <f>Statements!F8</f>
        <v>8150</v>
      </c>
      <c r="E14" s="6">
        <f>Statements!G8</f>
        <v>17609</v>
      </c>
      <c r="F14" s="6">
        <f>Statements!H8</f>
        <v>18550</v>
      </c>
      <c r="G14" s="6">
        <f>Statements!I8</f>
        <v>30585</v>
      </c>
      <c r="H14" s="6">
        <f>Statements!J8</f>
        <v>61541</v>
      </c>
    </row>
    <row r="16" spans="1:8">
      <c r="A16" t="s">
        <v>44</v>
      </c>
      <c r="B16" s="8">
        <f>B14/B11</f>
        <v>0.59459459459459463</v>
      </c>
      <c r="C16" s="8">
        <f t="shared" ref="C16:H16" si="2">C14/C11</f>
        <v>0.42217973231357553</v>
      </c>
      <c r="D16" s="8">
        <f t="shared" si="2"/>
        <v>0.90144895476164144</v>
      </c>
      <c r="E16" s="8">
        <f t="shared" si="2"/>
        <v>0.72605450872057065</v>
      </c>
      <c r="F16" s="8">
        <f t="shared" si="2"/>
        <v>0.42897116296279164</v>
      </c>
      <c r="G16" s="8">
        <f t="shared" si="2"/>
        <v>0.48157012171119962</v>
      </c>
      <c r="H16" s="8">
        <f t="shared" si="2"/>
        <v>0.56504733135622009</v>
      </c>
    </row>
    <row r="17" spans="1:8">
      <c r="A17" t="s">
        <v>45</v>
      </c>
      <c r="B17" s="8">
        <f>B14/B13</f>
        <v>0.12984185193674078</v>
      </c>
      <c r="C17" s="8">
        <f t="shared" ref="C17:H17" si="3">C14/C13</f>
        <v>8.6344439230408257E-2</v>
      </c>
      <c r="D17" s="8">
        <f t="shared" si="3"/>
        <v>0.20111042566317089</v>
      </c>
      <c r="E17" s="8">
        <f t="shared" si="3"/>
        <v>0.17082019692486783</v>
      </c>
      <c r="F17" s="8">
        <f t="shared" si="3"/>
        <v>0.1052996071842147</v>
      </c>
      <c r="G17" s="8">
        <f t="shared" si="3"/>
        <v>0.11733045873389751</v>
      </c>
      <c r="H17" s="8">
        <f t="shared" si="3"/>
        <v>0.14062367896094638</v>
      </c>
    </row>
    <row r="18" spans="1:8">
      <c r="A18" t="s">
        <v>46</v>
      </c>
      <c r="B18" s="19">
        <f>B13/B11</f>
        <v>4.579375491996851</v>
      </c>
      <c r="C18" s="19">
        <f t="shared" ref="C18:H18" si="4">C13/C11</f>
        <v>4.8894837476099422</v>
      </c>
      <c r="D18" s="19">
        <f t="shared" si="4"/>
        <v>4.4823581462227633</v>
      </c>
      <c r="E18" s="19">
        <f t="shared" si="4"/>
        <v>4.2504020121222119</v>
      </c>
      <c r="F18" s="19">
        <f t="shared" si="4"/>
        <v>4.073815415211711</v>
      </c>
      <c r="G18" s="19">
        <f t="shared" si="4"/>
        <v>4.1043913652753066</v>
      </c>
      <c r="H18" s="19">
        <f t="shared" si="4"/>
        <v>4.0181521030547316</v>
      </c>
    </row>
    <row r="19" spans="1:8">
      <c r="A19" t="s">
        <v>47</v>
      </c>
      <c r="B19" s="19">
        <f>B11/B2</f>
        <v>0.99973662147259035</v>
      </c>
      <c r="C19" s="19">
        <f t="shared" ref="C19:H19" si="5">C11/C2</f>
        <v>0.99999923518222933</v>
      </c>
      <c r="D19" s="19">
        <f t="shared" si="5"/>
        <v>0.99999977878558144</v>
      </c>
      <c r="E19" s="19">
        <f t="shared" si="5"/>
        <v>1.0453878409148414</v>
      </c>
      <c r="F19" s="19">
        <f t="shared" si="5"/>
        <v>1.1322824156328761</v>
      </c>
      <c r="G19" s="19">
        <f t="shared" si="5"/>
        <v>1.0581110221711336</v>
      </c>
      <c r="H19" s="19">
        <f t="shared" si="5"/>
        <v>0.99999998163671966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zoomScale="150" zoomScaleNormal="150" workbookViewId="0">
      <selection activeCell="B11" sqref="B11"/>
    </sheetView>
  </sheetViews>
  <sheetFormatPr defaultColWidth="11" defaultRowHeight="15.95"/>
  <cols>
    <col min="1" max="1" width="32" customWidth="1"/>
    <col min="5" max="5" width="10.625" customWidth="1"/>
    <col min="7" max="7" width="10.875" customWidth="1"/>
  </cols>
  <sheetData>
    <row r="1" spans="1:11">
      <c r="B1" s="11">
        <v>2015</v>
      </c>
      <c r="C1" s="11">
        <v>2016</v>
      </c>
      <c r="D1" s="11">
        <v>2017</v>
      </c>
      <c r="E1" s="11">
        <v>2018</v>
      </c>
      <c r="F1" s="11">
        <v>2019</v>
      </c>
      <c r="G1" s="11">
        <v>2020</v>
      </c>
      <c r="H1" s="11">
        <v>2021</v>
      </c>
    </row>
    <row r="2" spans="1:11">
      <c r="A2" s="3" t="s">
        <v>48</v>
      </c>
      <c r="B2" s="2">
        <f>Statements!D3/365</f>
        <v>23.906849315068492</v>
      </c>
      <c r="C2" s="2">
        <f>Statements!E3/365</f>
        <v>35.030136986301372</v>
      </c>
      <c r="D2" s="2">
        <f>Statements!F3/365</f>
        <v>111.02739726027397</v>
      </c>
      <c r="E2" s="2">
        <f>Statements!G3/365</f>
        <v>282.42465753424659</v>
      </c>
      <c r="F2" s="2">
        <f>Statements!H3/365</f>
        <v>482.64109589041095</v>
      </c>
      <c r="G2" s="2">
        <f>Statements!I3/365</f>
        <v>714.17534246575337</v>
      </c>
      <c r="H2" s="2">
        <f>Statements!J3/365</f>
        <v>1198.9835616438356</v>
      </c>
    </row>
    <row r="3" spans="1:11">
      <c r="A3" s="3" t="s">
        <v>49</v>
      </c>
      <c r="B3" s="2">
        <f>Statements!D4/365</f>
        <v>6.0164383561643833</v>
      </c>
      <c r="C3" s="2">
        <f>Statements!E4/365</f>
        <v>11.476712328767123</v>
      </c>
      <c r="D3" s="2">
        <f>Statements!F4/365</f>
        <v>29.627397260273973</v>
      </c>
      <c r="E3" s="2">
        <f>Statements!G4/365</f>
        <v>79.520547945205479</v>
      </c>
      <c r="F3" s="2">
        <f>Statements!H4/365</f>
        <v>160.51780821917808</v>
      </c>
      <c r="G3" s="2">
        <f>Statements!I4/365</f>
        <v>229.26849315068492</v>
      </c>
      <c r="H3" s="2">
        <f>Statements!J4/365</f>
        <v>393.40547945205481</v>
      </c>
    </row>
    <row r="4" spans="1:11">
      <c r="B4" s="3"/>
      <c r="C4" s="3"/>
    </row>
    <row r="5" spans="1:11">
      <c r="A5" s="3" t="s">
        <v>50</v>
      </c>
      <c r="B5" s="2">
        <f>Statements!D19/WorkCap!B2</f>
        <v>25.850332340132937</v>
      </c>
      <c r="C5" s="2">
        <f>Statements!E19/WorkCap!C2</f>
        <v>51.469967151572028</v>
      </c>
      <c r="D5" s="2">
        <f>Statements!F19/WorkCap!D2</f>
        <v>32.433436150524365</v>
      </c>
      <c r="E5" s="2">
        <f>Statements!G19/WorkCap!E2</f>
        <v>23.641703448610368</v>
      </c>
      <c r="F5" s="2">
        <f>Statements!H19/WorkCap!F2</f>
        <v>24.867339524533957</v>
      </c>
      <c r="G5" s="2">
        <f>Statements!I19/WorkCap!G2</f>
        <v>11.250738470273216</v>
      </c>
      <c r="H5" s="2">
        <f>Statements!J19/WorkCap!H2</f>
        <v>48.90058702691092</v>
      </c>
    </row>
    <row r="6" spans="1:11">
      <c r="A6" s="3" t="s">
        <v>51</v>
      </c>
      <c r="B6" s="2">
        <f>Statements!D20/WorkCap!B3</f>
        <v>159.56284153005464</v>
      </c>
      <c r="C6" s="2">
        <f>Statements!E20/WorkCap!C3</f>
        <v>79.465266173311051</v>
      </c>
      <c r="D6" s="2">
        <f>Statements!F20/WorkCap!D3</f>
        <v>58.661919733678566</v>
      </c>
      <c r="E6" s="2">
        <f>Statements!G20/WorkCap!E3</f>
        <v>151.79724375538328</v>
      </c>
      <c r="F6" s="2">
        <f>Statements!H20/WorkCap!F3</f>
        <v>140.39563740633906</v>
      </c>
      <c r="G6" s="2">
        <f>Statements!I20/WorkCap!G3</f>
        <v>123.14382849563233</v>
      </c>
      <c r="H6" s="2">
        <f>Statements!J20/WorkCap!H3</f>
        <v>153.24900935282361</v>
      </c>
    </row>
    <row r="7" spans="1:11">
      <c r="A7" s="3" t="s">
        <v>52</v>
      </c>
      <c r="B7" s="2">
        <f>Statements!D29/WorkCap!B3</f>
        <v>163.71812386156648</v>
      </c>
      <c r="C7" s="2">
        <f>Statements!E29/WorkCap!C3</f>
        <v>184.0248269276677</v>
      </c>
      <c r="D7" s="2">
        <f>Statements!F29/WorkCap!D3</f>
        <v>211.83095986683927</v>
      </c>
      <c r="E7" s="2">
        <f>Statements!G29/WorkCap!E3</f>
        <v>251.75882859603789</v>
      </c>
      <c r="F7" s="2">
        <f>Statements!H29/WorkCap!F3</f>
        <v>201.67855740838723</v>
      </c>
      <c r="G7" s="2">
        <f>Statements!I29/WorkCap!G3</f>
        <v>243.77095706415881</v>
      </c>
      <c r="H7" s="2">
        <f>Statements!J29/WorkCap!H3</f>
        <v>199.45324632816363</v>
      </c>
    </row>
    <row r="8" spans="1:11">
      <c r="B8" s="2"/>
      <c r="C8" s="2"/>
    </row>
    <row r="9" spans="1:11">
      <c r="A9" s="3" t="s">
        <v>53</v>
      </c>
      <c r="B9" s="2">
        <f>B5+B6-B7</f>
        <v>21.695050008621081</v>
      </c>
      <c r="C9" s="2">
        <f t="shared" ref="C9:H9" si="0">C5+C6-C7</f>
        <v>-53.089593602784618</v>
      </c>
      <c r="D9" s="2">
        <f t="shared" si="0"/>
        <v>-120.73560398263633</v>
      </c>
      <c r="E9" s="2">
        <f t="shared" si="0"/>
        <v>-76.319881392044238</v>
      </c>
      <c r="F9" s="2">
        <f t="shared" si="0"/>
        <v>-36.415580477514226</v>
      </c>
      <c r="G9" s="2">
        <f t="shared" si="0"/>
        <v>-109.37639009825327</v>
      </c>
      <c r="H9" s="2">
        <f t="shared" si="0"/>
        <v>2.6963500515709029</v>
      </c>
    </row>
    <row r="11" spans="1:11">
      <c r="A11" s="3" t="s">
        <v>54</v>
      </c>
      <c r="B11" s="5">
        <f>Overall!B8/Overall!B13</f>
        <v>0.17740087096034837</v>
      </c>
      <c r="C11" s="5">
        <f>Overall!C8/Overall!C13</f>
        <v>0.17683403722821836</v>
      </c>
      <c r="D11" s="5">
        <f>Overall!D8/Overall!D13</f>
        <v>0.20525601480567551</v>
      </c>
      <c r="E11" s="5">
        <f>Overall!E8/Overall!E13</f>
        <v>0.19153126061017606</v>
      </c>
      <c r="F11" s="5">
        <f>Overall!F8/Overall!F13</f>
        <v>0.18370949796780273</v>
      </c>
      <c r="G11" s="5">
        <f>Overall!G8/Overall!G13</f>
        <v>0.19079002892501745</v>
      </c>
      <c r="H11" s="5">
        <f>Overall!H8/Overall!H13</f>
        <v>0.18872835209732444</v>
      </c>
      <c r="J11" s="9"/>
      <c r="K11" s="9"/>
    </row>
    <row r="12" spans="1:11">
      <c r="A12" s="3" t="s">
        <v>4</v>
      </c>
      <c r="B12" s="5">
        <f>Statements!D5/Statements!D3</f>
        <v>0.7483382993353197</v>
      </c>
      <c r="C12" s="5">
        <f>Statements!E5/Statements!E3</f>
        <v>0.67237603628969189</v>
      </c>
      <c r="D12" s="5">
        <f>Statements!F5/Statements!F3</f>
        <v>0.73315237507711284</v>
      </c>
      <c r="E12" s="5">
        <f>Statements!G5/Statements!G3</f>
        <v>0.71843624193626621</v>
      </c>
      <c r="F12" s="5">
        <f>Statements!H5/Statements!H3</f>
        <v>0.66741786062986763</v>
      </c>
      <c r="G12" s="5">
        <f>Statements!I5/Statements!I3</f>
        <v>0.67897450455358033</v>
      </c>
      <c r="H12" s="5">
        <f>Statements!J5/Statements!J3</f>
        <v>0.67188417586585902</v>
      </c>
    </row>
    <row r="14" spans="1:11">
      <c r="A14" s="3" t="s">
        <v>55</v>
      </c>
      <c r="B14" s="8">
        <f>B12-B11</f>
        <v>0.5709374283749713</v>
      </c>
      <c r="C14" s="8">
        <f t="shared" ref="C14:H14" si="1">C12-C11</f>
        <v>0.49554199906147356</v>
      </c>
      <c r="D14" s="8">
        <f t="shared" si="1"/>
        <v>0.52789636027143727</v>
      </c>
      <c r="E14" s="8">
        <f t="shared" si="1"/>
        <v>0.5269049813260902</v>
      </c>
      <c r="F14" s="8">
        <f t="shared" si="1"/>
        <v>0.48370836266206491</v>
      </c>
      <c r="G14" s="8">
        <f t="shared" si="1"/>
        <v>0.48818447562856288</v>
      </c>
      <c r="H14" s="8">
        <f t="shared" si="1"/>
        <v>0.48315582376853461</v>
      </c>
    </row>
    <row r="16" spans="1:11">
      <c r="A16" t="s">
        <v>11</v>
      </c>
      <c r="B16" s="2">
        <f>Statements!D37-Statements!C37</f>
        <v>728</v>
      </c>
      <c r="C16" s="2">
        <f>Statements!E37-Statements!D37</f>
        <v>709</v>
      </c>
      <c r="D16" s="2">
        <f>Statements!F37-Statements!E37</f>
        <v>6426</v>
      </c>
      <c r="E16" s="2">
        <f>Statements!G37-Statements!F37</f>
        <v>14159</v>
      </c>
      <c r="F16" s="2">
        <f>Statements!H37-Statements!G37</f>
        <v>14991</v>
      </c>
      <c r="G16" s="2">
        <f>Statements!I37-Statements!H37</f>
        <v>21832</v>
      </c>
      <c r="H16" s="2">
        <f>Statements!J37-Statements!I37</f>
        <v>48890</v>
      </c>
    </row>
    <row r="17" spans="1:9">
      <c r="A17" t="s">
        <v>56</v>
      </c>
      <c r="B17" s="9">
        <f>Statements!D13+Statements!D14</f>
        <v>74.5</v>
      </c>
      <c r="C17" s="9">
        <f>Statements!E13+Statements!E14</f>
        <v>125.5</v>
      </c>
      <c r="D17" s="9">
        <f>Statements!F13+Statements!F14</f>
        <v>174</v>
      </c>
      <c r="E17" s="9">
        <f>Statements!G13+Statements!G14</f>
        <v>453</v>
      </c>
      <c r="F17" s="9">
        <f>Statements!H13+Statements!H14</f>
        <v>898</v>
      </c>
      <c r="G17" s="9">
        <f>Statements!I13+Statements!I14</f>
        <v>2608</v>
      </c>
      <c r="H17" s="9">
        <f>Statements!J13+Statements!J14</f>
        <v>0</v>
      </c>
    </row>
    <row r="18" spans="1:9">
      <c r="A18" t="s">
        <v>57</v>
      </c>
      <c r="B18" s="2">
        <f>Statements!C19-Statements!D19</f>
        <v>-526</v>
      </c>
      <c r="C18" s="2">
        <f>Statements!D19-Statements!E19</f>
        <v>-1185</v>
      </c>
      <c r="D18" s="2">
        <f>Statements!E19-Statements!F19</f>
        <v>-1798</v>
      </c>
      <c r="E18" s="2">
        <f>Statements!F19-Statements!G19</f>
        <v>-3076</v>
      </c>
      <c r="F18" s="2">
        <f>Statements!G19-Statements!H19</f>
        <v>-5325</v>
      </c>
      <c r="G18" s="2">
        <f>Statements!H19-Statements!I19</f>
        <v>3967</v>
      </c>
      <c r="H18" s="2">
        <f>Statements!I19-Statements!J19</f>
        <v>-50596</v>
      </c>
      <c r="I18" s="9"/>
    </row>
    <row r="19" spans="1:9">
      <c r="A19" t="s">
        <v>58</v>
      </c>
      <c r="B19" s="2">
        <f>-Statements!D20+Statements!C20</f>
        <v>-524</v>
      </c>
      <c r="C19" s="2">
        <f>-Statements!E20+Statements!D20</f>
        <v>48</v>
      </c>
      <c r="D19" s="2">
        <f>-Statements!F20+Statements!E20</f>
        <v>-826</v>
      </c>
      <c r="E19" s="2">
        <f>-Statements!G20+Statements!F20</f>
        <v>-10333</v>
      </c>
      <c r="F19" s="2">
        <f>-Statements!H20+Statements!G20</f>
        <v>-10465</v>
      </c>
      <c r="G19" s="2">
        <f>-Statements!I20+Statements!H20</f>
        <v>-5697</v>
      </c>
      <c r="H19" s="2">
        <f>-Statements!J20+Statements!I20</f>
        <v>-32056</v>
      </c>
      <c r="I19" s="9"/>
    </row>
    <row r="20" spans="1:9">
      <c r="A20" t="s">
        <v>59</v>
      </c>
      <c r="B20" s="2">
        <f>Statements!D29-Statements!C29</f>
        <v>592</v>
      </c>
      <c r="C20" s="2">
        <f>Statements!E29-Statements!D29</f>
        <v>1127</v>
      </c>
      <c r="D20" s="2">
        <f>Statements!F29-Statements!E29</f>
        <v>4164</v>
      </c>
      <c r="E20" s="2">
        <f>Statements!G29-Statements!F29</f>
        <v>13744</v>
      </c>
      <c r="F20" s="2">
        <f>Statements!H29-Statements!G29</f>
        <v>12353</v>
      </c>
      <c r="G20" s="2">
        <f>Statements!I29-Statements!H29</f>
        <v>23516</v>
      </c>
      <c r="H20" s="2">
        <f>Statements!J29-Statements!I29</f>
        <v>22577</v>
      </c>
    </row>
    <row r="21" spans="1:9">
      <c r="A21" t="s">
        <v>60</v>
      </c>
      <c r="B21" s="2">
        <f>Statements!D31-Statements!C31</f>
        <v>71</v>
      </c>
      <c r="C21" s="2">
        <f>Statements!E31-Statements!D31</f>
        <v>0</v>
      </c>
      <c r="D21" s="2">
        <f>Statements!F31-Statements!E31</f>
        <v>1</v>
      </c>
      <c r="E21" s="2">
        <f>Statements!G31-Statements!F31</f>
        <v>-15</v>
      </c>
      <c r="F21" s="2">
        <f>Statements!H31-Statements!G31</f>
        <v>-31</v>
      </c>
      <c r="G21" s="2">
        <f>Statements!I31-Statements!H31</f>
        <v>996</v>
      </c>
      <c r="H21" s="2">
        <f>Statements!J31-Statements!I31</f>
        <v>164</v>
      </c>
    </row>
    <row r="22" spans="1:9">
      <c r="A22" t="s">
        <v>61</v>
      </c>
      <c r="B22" s="9">
        <f>Statements!C24-Statements!D24+Statements!C27-Statements!D27</f>
        <v>-383</v>
      </c>
      <c r="C22" s="9">
        <f>Statements!D24-Statements!E24+Statements!D27-Statements!E27</f>
        <v>-122</v>
      </c>
      <c r="D22" s="9">
        <f>Statements!E24-Statements!F24+Statements!E27-Statements!F27</f>
        <v>-543</v>
      </c>
      <c r="E22" s="9">
        <f>Statements!F24-Statements!G24+Statements!F27-Statements!G27</f>
        <v>-4239</v>
      </c>
      <c r="F22" s="9">
        <f>Statements!G24-Statements!H24+Statements!G27-Statements!H27</f>
        <v>-7269</v>
      </c>
      <c r="G22" s="9">
        <f>Statements!H24-Statements!I24+Statements!H27-Statements!I27</f>
        <v>-5505</v>
      </c>
      <c r="H22" s="9">
        <f>Statements!I24-Statements!J24+Statements!I27-Statements!J27</f>
        <v>-12543</v>
      </c>
    </row>
    <row r="23" spans="1:9">
      <c r="A23" t="s">
        <v>62</v>
      </c>
      <c r="B23" s="9">
        <f>Statements!D30+Statements!D33-Statements!C30-Statements!C33</f>
        <v>0</v>
      </c>
      <c r="C23" s="9">
        <f>Statements!E30+Statements!E33-Statements!D30-Statements!D33</f>
        <v>0</v>
      </c>
      <c r="D23" s="9">
        <f>Statements!F30+Statements!F33-Statements!E30-Statements!E33</f>
        <v>0</v>
      </c>
      <c r="E23" s="9">
        <f>Statements!G30+Statements!G33-Statements!F30-Statements!F33</f>
        <v>1053</v>
      </c>
      <c r="F23" s="9">
        <f>Statements!H30+Statements!H33-Statements!G30-Statements!G33</f>
        <v>3999</v>
      </c>
      <c r="G23" s="9">
        <f>Statements!I30+Statements!I33-Statements!H30-Statements!H33</f>
        <v>-1564</v>
      </c>
      <c r="H23" s="9">
        <f>Statements!J30+Statements!J33-Statements!I30-Statements!I33</f>
        <v>-3488</v>
      </c>
    </row>
    <row r="25" spans="1:9">
      <c r="A25" t="s">
        <v>63</v>
      </c>
      <c r="B25" s="9">
        <f>SUM(B16:B23)</f>
        <v>32.5</v>
      </c>
      <c r="C25" s="9">
        <f t="shared" ref="C25:H25" si="2">SUM(C16:C23)</f>
        <v>702.5</v>
      </c>
      <c r="D25" s="9">
        <f t="shared" si="2"/>
        <v>7598</v>
      </c>
      <c r="E25" s="9">
        <f t="shared" si="2"/>
        <v>11746</v>
      </c>
      <c r="F25" s="9">
        <f t="shared" si="2"/>
        <v>9151</v>
      </c>
      <c r="G25" s="9">
        <f t="shared" si="2"/>
        <v>40153</v>
      </c>
      <c r="H25" s="9">
        <f t="shared" si="2"/>
        <v>-27052</v>
      </c>
      <c r="I25" s="4"/>
    </row>
    <row r="26" spans="1:9">
      <c r="F26" s="2"/>
      <c r="H26" s="2"/>
      <c r="I26" s="2"/>
    </row>
    <row r="27" spans="1:9">
      <c r="A27" t="s">
        <v>64</v>
      </c>
      <c r="B27" s="9">
        <f>Statements!D18-Statements!C18</f>
        <v>32</v>
      </c>
      <c r="C27" s="9">
        <f>Statements!E18-Statements!D18</f>
        <v>703</v>
      </c>
      <c r="D27" s="9">
        <f>Statements!F18-Statements!E18</f>
        <v>7598</v>
      </c>
      <c r="E27" s="9">
        <f>Statements!G18-Statements!F18</f>
        <v>11746</v>
      </c>
      <c r="F27" s="9">
        <f>Statements!H18-Statements!G18</f>
        <v>9151</v>
      </c>
      <c r="G27" s="9">
        <f>Statements!I18-Statements!H18</f>
        <v>40153</v>
      </c>
      <c r="H27" s="9">
        <f>Statements!J18-Statements!I18</f>
        <v>-27052</v>
      </c>
      <c r="I27" s="2"/>
    </row>
    <row r="28" spans="1:9">
      <c r="E28" s="3"/>
      <c r="F28" s="7"/>
      <c r="G28" s="3"/>
      <c r="H28" s="7"/>
      <c r="I28" s="7"/>
    </row>
    <row r="29" spans="1:9">
      <c r="A29" t="s">
        <v>1</v>
      </c>
      <c r="B29" s="9">
        <f>B27-B25</f>
        <v>-0.5</v>
      </c>
      <c r="C29" s="9">
        <f t="shared" ref="C29:H29" si="3">C27-C25</f>
        <v>0.5</v>
      </c>
      <c r="D29" s="9">
        <f t="shared" si="3"/>
        <v>0</v>
      </c>
      <c r="E29" s="9">
        <f t="shared" si="3"/>
        <v>0</v>
      </c>
      <c r="F29" s="9">
        <f t="shared" si="3"/>
        <v>0</v>
      </c>
      <c r="G29" s="9">
        <f t="shared" si="3"/>
        <v>0</v>
      </c>
      <c r="H29" s="9">
        <f t="shared" si="3"/>
        <v>0</v>
      </c>
      <c r="I29" s="2"/>
    </row>
    <row r="30" spans="1:9">
      <c r="F30" s="2"/>
      <c r="H30" s="2"/>
      <c r="I30" s="2"/>
    </row>
    <row r="31" spans="1:9">
      <c r="E31" s="3"/>
      <c r="F31" s="7"/>
      <c r="G31" s="3"/>
      <c r="H31" s="7"/>
      <c r="I31" s="7"/>
    </row>
    <row r="33" spans="5:9">
      <c r="F33" s="2"/>
    </row>
    <row r="34" spans="5:9">
      <c r="F34" s="2"/>
      <c r="H34" s="2"/>
    </row>
    <row r="35" spans="5:9">
      <c r="E35" s="3"/>
      <c r="F35" s="10"/>
      <c r="G35" s="3"/>
      <c r="H35" s="10"/>
      <c r="I35" s="10"/>
    </row>
    <row r="37" spans="5:9">
      <c r="H37" s="2"/>
    </row>
    <row r="38" spans="5:9">
      <c r="E38" s="3"/>
      <c r="F38" s="10"/>
      <c r="G38" s="15"/>
      <c r="H38" s="16"/>
      <c r="I38" s="10"/>
    </row>
    <row r="39" spans="5:9">
      <c r="G39" s="3"/>
      <c r="H39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zoomScale="150" zoomScaleNormal="150" workbookViewId="0">
      <selection activeCell="D4" sqref="D4"/>
    </sheetView>
  </sheetViews>
  <sheetFormatPr defaultColWidth="11" defaultRowHeight="15.95"/>
  <cols>
    <col min="1" max="1" width="27.125" customWidth="1"/>
    <col min="2" max="2" width="5.375" customWidth="1"/>
    <col min="3" max="3" width="6.625" customWidth="1"/>
    <col min="4" max="4" width="19.375" customWidth="1"/>
    <col min="5" max="5" width="21.125" customWidth="1"/>
  </cols>
  <sheetData>
    <row r="1" spans="1:5">
      <c r="D1" s="12" t="s">
        <v>65</v>
      </c>
      <c r="E1" s="12" t="s">
        <v>7</v>
      </c>
    </row>
    <row r="2" spans="1:5">
      <c r="A2" s="3" t="s">
        <v>66</v>
      </c>
      <c r="D2" s="2">
        <f>WorkCap!E25</f>
        <v>11746</v>
      </c>
      <c r="E2" s="2">
        <f>Statements!G8</f>
        <v>17609</v>
      </c>
    </row>
    <row r="4" spans="1:5">
      <c r="A4" t="s">
        <v>67</v>
      </c>
      <c r="B4" s="14">
        <v>1</v>
      </c>
      <c r="C4" t="s">
        <v>68</v>
      </c>
      <c r="D4" s="2">
        <f>E4-B4/100*Statements!G19</f>
        <v>964.07999999999993</v>
      </c>
      <c r="E4" s="2">
        <f>B4/100*Statements!G3</f>
        <v>1030.8499999999999</v>
      </c>
    </row>
    <row r="5" spans="1:5">
      <c r="D5" s="2"/>
      <c r="E5" s="2"/>
    </row>
    <row r="6" spans="1:5">
      <c r="A6" t="s">
        <v>69</v>
      </c>
      <c r="B6" s="14">
        <v>1</v>
      </c>
      <c r="C6" t="s">
        <v>68</v>
      </c>
      <c r="D6" s="2">
        <f>E6-B6/100*(Statements!G19+Statements!G20-Statements!G29)</f>
        <v>753.32</v>
      </c>
      <c r="E6" s="2">
        <f>B6/100*Statements!G5</f>
        <v>740.6</v>
      </c>
    </row>
    <row r="7" spans="1:5">
      <c r="D7" s="2"/>
      <c r="E7" s="2"/>
    </row>
    <row r="8" spans="1:5">
      <c r="A8" t="s">
        <v>70</v>
      </c>
      <c r="B8" s="14">
        <v>1</v>
      </c>
      <c r="C8" t="s">
        <v>68</v>
      </c>
      <c r="D8" s="2">
        <f>E8+B8/100*(Statements!G20-Statements!G29)</f>
        <v>210.76</v>
      </c>
      <c r="E8" s="2">
        <f>B8/100*Statements!G4</f>
        <v>290.25</v>
      </c>
    </row>
    <row r="9" spans="1:5">
      <c r="D9" s="2"/>
      <c r="E9" s="2"/>
    </row>
    <row r="10" spans="1:5">
      <c r="A10" t="s">
        <v>71</v>
      </c>
      <c r="B10" s="14">
        <v>1</v>
      </c>
      <c r="C10" t="s">
        <v>68</v>
      </c>
      <c r="D10" s="2">
        <f>E10</f>
        <v>350.13</v>
      </c>
      <c r="E10" s="2">
        <f>B10/100*Statements!G7</f>
        <v>350.13</v>
      </c>
    </row>
    <row r="11" spans="1:5">
      <c r="D11" s="2"/>
      <c r="E11" s="2"/>
    </row>
    <row r="12" spans="1:5">
      <c r="A12" t="s">
        <v>72</v>
      </c>
      <c r="B12" s="14">
        <v>1</v>
      </c>
      <c r="C12" t="s">
        <v>73</v>
      </c>
      <c r="D12" s="2">
        <f>WorkCap!E2</f>
        <v>282.42465753424659</v>
      </c>
      <c r="E12" s="2"/>
    </row>
    <row r="13" spans="1:5">
      <c r="D13" s="2"/>
      <c r="E13" s="2"/>
    </row>
    <row r="14" spans="1:5">
      <c r="A14" t="s">
        <v>74</v>
      </c>
      <c r="B14" s="14">
        <v>1</v>
      </c>
      <c r="C14" t="s">
        <v>73</v>
      </c>
      <c r="D14" s="2">
        <f>WorkCap!E3</f>
        <v>79.520547945205479</v>
      </c>
      <c r="E14" s="2"/>
    </row>
    <row r="15" spans="1:5">
      <c r="D15" s="2"/>
      <c r="E15" s="2"/>
    </row>
    <row r="16" spans="1:5">
      <c r="A16" t="s">
        <v>75</v>
      </c>
      <c r="B16" s="14">
        <v>1</v>
      </c>
      <c r="C16" t="s">
        <v>73</v>
      </c>
      <c r="D16" s="2">
        <f>WorkCap!E3</f>
        <v>79.520547945205479</v>
      </c>
      <c r="E16" s="2"/>
    </row>
    <row r="17" spans="1:5">
      <c r="D17" s="2"/>
      <c r="E17" s="2"/>
    </row>
    <row r="18" spans="1:5">
      <c r="A18" s="3" t="s">
        <v>76</v>
      </c>
      <c r="D18" s="7">
        <f>SUM(D4:D16)</f>
        <v>2719.755753424658</v>
      </c>
      <c r="E18" s="7">
        <f>SUM(E4:E16)</f>
        <v>2411.83</v>
      </c>
    </row>
    <row r="19" spans="1:5">
      <c r="A19" s="3"/>
      <c r="D19" s="2"/>
      <c r="E19" s="2"/>
    </row>
    <row r="20" spans="1:5">
      <c r="A20" s="3" t="s">
        <v>77</v>
      </c>
      <c r="D20" s="7">
        <f>D2+D18</f>
        <v>14465.755753424659</v>
      </c>
      <c r="E20" s="7">
        <f>E2+E18</f>
        <v>20020.830000000002</v>
      </c>
    </row>
    <row r="21" spans="1:5">
      <c r="D21" s="17"/>
      <c r="E21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Dimo Dimov</cp:lastModifiedBy>
  <cp:revision/>
  <dcterms:created xsi:type="dcterms:W3CDTF">2016-03-14T09:06:35Z</dcterms:created>
  <dcterms:modified xsi:type="dcterms:W3CDTF">2022-12-15T12:01:12Z</dcterms:modified>
  <cp:category/>
  <cp:contentStatus/>
</cp:coreProperties>
</file>